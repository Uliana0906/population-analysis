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чищенные данные" sheetId="1" r:id="rId5"/>
    <sheet state="visible" name="анализ" sheetId="2" r:id="rId6"/>
    <sheet state="visible" name="анализ(сводная)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tc={174f4a77-3964-49ff-9ab5-88f31ca7a7a0}</author>
  </authors>
  <commentList>
    <comment authorId="0" xr:uid="{174f4a77-3964-49ff-9ab5-88f31ca7a7a0}" ref="B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Государство было провозглашено 15 ноября 1988 года
</t>
      </text>
    </comment>
  </commentList>
</comments>
</file>

<file path=xl/sharedStrings.xml><?xml version="1.0" encoding="utf-8"?>
<sst xmlns="http://schemas.openxmlformats.org/spreadsheetml/2006/main" count="717" uniqueCount="275">
  <si>
    <t>Country Name</t>
  </si>
  <si>
    <t>Population in</t>
  </si>
  <si>
    <t>Growth_%</t>
  </si>
  <si>
    <t>Group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</si>
  <si>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</si>
  <si>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</si>
  <si>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</si>
  <si>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</si>
  <si>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</si>
  <si>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</si>
  <si>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</si>
  <si>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</si>
  <si>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</si>
  <si>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</si>
  <si>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</si>
  <si>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</si>
  <si>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</si>
  <si>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</si>
  <si>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</si>
  <si>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</si>
  <si>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</si>
  <si>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</si>
  <si>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</si>
  <si>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</si>
  <si>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</si>
  <si>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</si>
  <si>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</si>
  <si>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</si>
  <si>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</si>
  <si>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</si>
  <si>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</si>
  <si>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</si>
  <si>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</si>
  <si>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</si>
  <si>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</si>
  <si>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</si>
  <si>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</si>
  <si>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</si>
  <si>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</si>
  <si>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</si>
  <si>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</si>
  <si>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</si>
  <si>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</si>
  <si>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</si>
  <si>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</si>
  <si>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</si>
  <si>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</si>
  <si>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</si>
  <si>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</si>
  <si>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</si>
  <si>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</si>
  <si>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</si>
  <si>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</si>
  <si>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</si>
  <si>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</si>
  <si>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</si>
  <si>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</si>
  <si>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</si>
  <si>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</si>
  <si>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</si>
  <si>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</si>
  <si>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</si>
  <si>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</si>
  <si>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</si>
  <si>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</si>
  <si>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</si>
  <si>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</si>
  <si>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</si>
  <si>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</si>
  <si>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</si>
  <si>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</si>
  <si>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</si>
  <si>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</si>
  <si>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</si>
  <si>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</si>
  <si>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</si>
  <si>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</si>
  <si>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</si>
  <si>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</si>
  <si>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</si>
  <si>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</si>
  <si>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</si>
  <si>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</si>
  <si>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</si>
  <si>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</si>
  <si>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</si>
  <si>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</si>
  <si>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</si>
  <si>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</si>
  <si>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</si>
  <si>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</si>
  <si>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</si>
  <si>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</si>
  <si>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</si>
  <si>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</si>
  <si>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</si>
  <si>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</si>
  <si>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</si>
  <si>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</si>
  <si>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</si>
  <si>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</si>
  <si>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</si>
  <si>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</si>
  <si>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</si>
  <si>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</si>
  <si>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</si>
  <si>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</si>
  <si>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</si>
  <si>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</si>
  <si>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</si>
  <si>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</si>
  <si>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</si>
  <si>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</si>
  <si>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</si>
  <si>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</si>
  <si>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</si>
  <si>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</si>
  <si>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</si>
  <si>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</si>
  <si>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</si>
  <si>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</si>
  <si>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</si>
  <si>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</si>
  <si>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</si>
  <si>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</si>
  <si>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</si>
  <si>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</si>
  <si>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</si>
  <si>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</si>
  <si>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</si>
  <si>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</si>
  <si>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</si>
  <si>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</si>
  <si>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</si>
  <si>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</si>
  <si>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</si>
  <si>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</si>
  <si>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</si>
  <si>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</si>
  <si>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</si>
  <si>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</si>
  <si>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</si>
  <si>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</si>
  <si>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</si>
  <si>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</si>
  <si>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</si>
  <si>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</si>
  <si>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</si>
  <si>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</si>
  <si>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</si>
  <si>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</si>
  <si>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</si>
  <si>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</si>
  <si>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</si>
  <si>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</si>
  <si>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</si>
  <si>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</si>
  <si>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</si>
  <si>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</si>
  <si>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</si>
  <si>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</si>
  <si>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</si>
  <si>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</si>
  <si>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</si>
  <si>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</si>
  <si>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</si>
  <si>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</si>
  <si>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</si>
  <si>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</si>
  <si>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</si>
  <si>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</si>
  <si>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</si>
  <si>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</si>
  <si>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</si>
  <si>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</si>
  <si>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</si>
  <si>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</si>
  <si>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</si>
  <si>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</si>
  <si>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</si>
  <si>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</si>
  <si>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</si>
  <si>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</si>
  <si>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</si>
  <si>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</si>
  <si>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</si>
  <si>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</si>
  <si>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</si>
  <si>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</si>
  <si>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</si>
  <si>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</si>
  <si>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</si>
  <si>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</si>
  <si>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</si>
  <si>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</si>
  <si>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</si>
  <si>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</si>
  <si>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</si>
  <si>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</si>
  <si>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</si>
  <si>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</si>
  <si>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</si>
  <si>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</si>
  <si>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</si>
  <si>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</si>
  <si>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</si>
  <si>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</si>
  <si>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</si>
  <si>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</si>
  <si>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</si>
  <si>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</si>
  <si>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</si>
  <si>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</si>
  <si>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</si>
  <si>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</si>
  <si>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</si>
  <si>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</si>
  <si>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</si>
  <si>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</si>
  <si>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</si>
  <si>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топ-10 стран с наибольшим населением на 2020 год</t>
  </si>
  <si>
    <t>топ-10 стран с наименьшим населением на 2020 год</t>
  </si>
  <si>
    <t>топ-10 стран с наибольшим приростом</t>
  </si>
  <si>
    <t>топ-10 стран с наименьшим приростом</t>
  </si>
  <si>
    <t>Индия</t>
  </si>
  <si>
    <t>Науру</t>
  </si>
  <si>
    <t>Катар</t>
  </si>
  <si>
    <t>Сент-Китс и Невис</t>
  </si>
  <si>
    <t>Соединенные Штаты Америки</t>
  </si>
  <si>
    <t>Палао</t>
  </si>
  <si>
    <t>Объединенные Арабские Эмираты</t>
  </si>
  <si>
    <t>Латвия</t>
  </si>
  <si>
    <t>Индонезия</t>
  </si>
  <si>
    <t>Сен-Мартен (франц.)</t>
  </si>
  <si>
    <t>Сен-Мартен (датч.)</t>
  </si>
  <si>
    <t>Хорватия</t>
  </si>
  <si>
    <t>Пакистан</t>
  </si>
  <si>
    <t>Сан Марино</t>
  </si>
  <si>
    <t>Кувейт</t>
  </si>
  <si>
    <t>Венгрия</t>
  </si>
  <si>
    <t>Нигерия</t>
  </si>
  <si>
    <t>Гибралтар</t>
  </si>
  <si>
    <t>Джибути</t>
  </si>
  <si>
    <t>Босния и Герцеговина</t>
  </si>
  <si>
    <t>Бразилия</t>
  </si>
  <si>
    <t>Британские Виргинские острова</t>
  </si>
  <si>
    <t>Иордан</t>
  </si>
  <si>
    <t>Литва</t>
  </si>
  <si>
    <t>Бангладеш</t>
  </si>
  <si>
    <t>Монако</t>
  </si>
  <si>
    <t>Бахрейн</t>
  </si>
  <si>
    <t>Грузия</t>
  </si>
  <si>
    <t>Российская Федерация</t>
  </si>
  <si>
    <t>Лихтенштейн</t>
  </si>
  <si>
    <t>Оман</t>
  </si>
  <si>
    <t>Сербия</t>
  </si>
  <si>
    <t>Мексика</t>
  </si>
  <si>
    <t>Сент-Мартен (датч.)</t>
  </si>
  <si>
    <t>Каймановы острова</t>
  </si>
  <si>
    <t>Украина</t>
  </si>
  <si>
    <t>макс. население в 2020 году</t>
  </si>
  <si>
    <t>макс. прирост</t>
  </si>
  <si>
    <t xml:space="preserve">мин. население в 2020 году </t>
  </si>
  <si>
    <t>мин. прирост</t>
  </si>
  <si>
    <t>среднее значение населения в 2020 году</t>
  </si>
  <si>
    <t>среднее значение прироста</t>
  </si>
  <si>
    <t>медиана населения в 2020 году</t>
  </si>
  <si>
    <t>медиана прироста</t>
  </si>
  <si>
    <t>доли стран из топов:</t>
  </si>
  <si>
    <t>страны топ-10 с наибольшим населением</t>
  </si>
  <si>
    <t xml:space="preserve">страны топ-10 с наименьшим населением </t>
  </si>
  <si>
    <t>Средние значения:</t>
  </si>
  <si>
    <t>Large</t>
  </si>
  <si>
    <t>Medium</t>
  </si>
  <si>
    <t>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</si>
</sst>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/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1" numFmtId="10" xfId="0" applyFont="1" applyNumberFormat="1"/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3" fillId="2" fontId="1" numFmtId="0" xfId="0" applyAlignment="1" applyBorder="1" applyFont="1">
      <alignment readingOrder="0"/>
    </xf>
    <xf borderId="4" fillId="0" fontId="1" numFmtId="0" xfId="0" applyBorder="1" applyFont="1"/>
    <xf borderId="5" fillId="2" fontId="1" numFmtId="0" xfId="0" applyAlignment="1" applyBorder="1" applyFont="1">
      <alignment readingOrder="0"/>
    </xf>
    <xf borderId="6" fillId="0" fontId="1" numFmtId="10" xfId="0" applyBorder="1" applyFont="1" applyNumberFormat="1"/>
    <xf borderId="2" fillId="0" fontId="1" numFmtId="0" xfId="0" applyBorder="1" applyFont="1"/>
    <xf borderId="7" fillId="0" fontId="1" numFmtId="10" xfId="0" applyBorder="1" applyFont="1" applyNumberFormat="1"/>
    <xf borderId="8" fillId="0" fontId="1" numFmtId="0" xfId="0" applyBorder="1" applyFont="1"/>
    <xf borderId="9" fillId="0" fontId="1" numFmtId="10" xfId="0" applyBorder="1" applyFont="1" applyNumberFormat="1"/>
    <xf borderId="10" fillId="0" fontId="4" numFmtId="0" xfId="0" applyBorder="1" applyFont="1"/>
    <xf borderId="3" fillId="0" fontId="1" numFmtId="0" xfId="0" applyAlignment="1" applyBorder="1" applyFont="1">
      <alignment readingOrder="0"/>
    </xf>
    <xf borderId="3" fillId="0" fontId="1" numFmtId="10" xfId="0" applyBorder="1" applyFont="1" applyNumberFormat="1"/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6"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анализ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Ульяна Арланова" id="{3571f6ad-e4ad-4233-86a8-8d89a669f82e}" providerId="google-sheets"/>
</x18tc:personList>
</file>

<file path=xl/tables/table1.xml><?xml version="1.0" encoding="utf-8"?>
<table xmlns="http://schemas.openxmlformats.org/spreadsheetml/2006/main" ref="L2:O11" displayName="Таблица1" name="Таблица1" id="1">
  <tableColumns count="4">
    <tableColumn name="топ-10 стран с наибольшим населением на 2020 год" id="1"/>
    <tableColumn name="топ-10 стран с наименьшим населением на 2020 год" id="2"/>
    <tableColumn name="топ-10 стран с наибольшим приростом" id="3"/>
    <tableColumn name="топ-10 стран с наименьшим приростом" id="4"/>
  </tableColumns>
  <tableStyleInfo name="анализ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5" dT="2026-03-25T05:21:24.00" personId="{3571f6ad-e4ad-4233-86a8-8d89a669f82e}" id="{174f4a77-3964-49ff-9ab5-88f31ca7a7a0}" done="0">
    <x18tc:text xml:space="preserve">Государство было провозглашено 15 ноября 1988 года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I1" s="3" t="s">
        <v>2</v>
      </c>
      <c r="J1" s="3" t="s">
        <v>3</v>
      </c>
    </row>
    <row r="2">
      <c r="B2" s="1">
        <v>1960.0</v>
      </c>
      <c r="C2" s="1">
        <v>1970.0</v>
      </c>
      <c r="D2" s="1">
        <v>1980.0</v>
      </c>
      <c r="E2" s="1">
        <v>1990.0</v>
      </c>
      <c r="F2" s="1">
        <v>2000.0</v>
      </c>
      <c r="G2" s="1">
        <v>2010.0</v>
      </c>
      <c r="H2" s="1">
        <v>2020.0</v>
      </c>
    </row>
    <row r="3">
      <c r="A3" s="1" t="s">
        <v>4</v>
      </c>
      <c r="B3" s="1">
        <v>9035043.0</v>
      </c>
      <c r="C3" s="1">
        <v>1.1290128E7</v>
      </c>
      <c r="D3" s="1">
        <v>1.3169311E7</v>
      </c>
      <c r="E3" s="1">
        <v>1.204566E7</v>
      </c>
      <c r="F3" s="1">
        <v>2.0130327E7</v>
      </c>
      <c r="G3" s="1">
        <v>2.8284089E7</v>
      </c>
      <c r="H3" s="1">
        <v>3.9068979E7</v>
      </c>
      <c r="I3" s="4">
        <f t="shared" ref="I3:I214" si="1">(H3-B3)/B3</f>
        <v>3.324160826</v>
      </c>
      <c r="J3" s="5" t="str">
        <f t="shared" ref="J3:J218" si="2">IF(H3&lt;1000000, "Small", IF(H3&lt;=10000000, "Medium", "Large"))</f>
        <v>Large</v>
      </c>
    </row>
    <row r="4">
      <c r="A4" s="1" t="s">
        <v>5</v>
      </c>
      <c r="B4" s="1">
        <v>1608800.0</v>
      </c>
      <c r="C4" s="1">
        <v>2135479.0</v>
      </c>
      <c r="D4" s="1">
        <v>2671997.0</v>
      </c>
      <c r="E4" s="1">
        <v>3286542.0</v>
      </c>
      <c r="F4" s="1">
        <v>3089027.0</v>
      </c>
      <c r="G4" s="1">
        <v>2913021.0</v>
      </c>
      <c r="H4" s="1">
        <v>2528480.0</v>
      </c>
      <c r="I4" s="4">
        <f t="shared" si="1"/>
        <v>0.5716558926</v>
      </c>
      <c r="J4" s="5" t="str">
        <f t="shared" si="2"/>
        <v>Medium</v>
      </c>
    </row>
    <row r="5">
      <c r="A5" s="1" t="s">
        <v>6</v>
      </c>
      <c r="B5" s="1">
        <v>1.1424922E7</v>
      </c>
      <c r="C5" s="1">
        <v>1.3783719E7</v>
      </c>
      <c r="D5" s="1">
        <v>1.8607174E7</v>
      </c>
      <c r="E5" s="1">
        <v>2.537581E7</v>
      </c>
      <c r="F5" s="1">
        <v>3.0903893E7</v>
      </c>
      <c r="G5" s="1">
        <v>3.6188236E7</v>
      </c>
      <c r="H5" s="1">
        <v>4.4042091E7</v>
      </c>
      <c r="I5" s="4">
        <f t="shared" si="1"/>
        <v>2.854913933</v>
      </c>
      <c r="J5" s="5" t="str">
        <f t="shared" si="2"/>
        <v>Large</v>
      </c>
    </row>
    <row r="6">
      <c r="A6" s="1" t="s">
        <v>7</v>
      </c>
      <c r="B6" s="1">
        <v>20133.0</v>
      </c>
      <c r="C6" s="1">
        <v>27026.0</v>
      </c>
      <c r="D6" s="1">
        <v>32403.0</v>
      </c>
      <c r="E6" s="1">
        <v>46640.0</v>
      </c>
      <c r="F6" s="1">
        <v>56855.0</v>
      </c>
      <c r="G6" s="1">
        <v>55228.0</v>
      </c>
      <c r="H6" s="1">
        <v>49761.0</v>
      </c>
      <c r="I6" s="4">
        <f t="shared" si="1"/>
        <v>1.471613768</v>
      </c>
      <c r="J6" s="5" t="str">
        <f t="shared" si="2"/>
        <v>Small</v>
      </c>
    </row>
    <row r="7">
      <c r="A7" s="1" t="s">
        <v>8</v>
      </c>
      <c r="B7" s="1">
        <v>9510.0</v>
      </c>
      <c r="C7" s="1">
        <v>19977.0</v>
      </c>
      <c r="D7" s="1">
        <v>35782.0</v>
      </c>
      <c r="E7" s="1">
        <v>52597.0</v>
      </c>
      <c r="F7" s="1">
        <v>65685.0</v>
      </c>
      <c r="G7" s="1">
        <v>80706.0</v>
      </c>
      <c r="H7" s="1">
        <v>77380.0</v>
      </c>
      <c r="I7" s="4">
        <f t="shared" si="1"/>
        <v>7.136698212</v>
      </c>
      <c r="J7" s="5" t="str">
        <f t="shared" si="2"/>
        <v>Small</v>
      </c>
    </row>
    <row r="8">
      <c r="A8" s="1" t="s">
        <v>9</v>
      </c>
      <c r="B8" s="1">
        <v>5231654.0</v>
      </c>
      <c r="C8" s="1">
        <v>5852788.0</v>
      </c>
      <c r="D8" s="1">
        <v>8133872.0</v>
      </c>
      <c r="E8" s="1">
        <v>1.162636E7</v>
      </c>
      <c r="F8" s="1">
        <v>1.6194869E7</v>
      </c>
      <c r="G8" s="1">
        <v>2.3294825E7</v>
      </c>
      <c r="H8" s="1">
        <v>3.3451132E7</v>
      </c>
      <c r="I8" s="4">
        <f t="shared" si="1"/>
        <v>5.393987829</v>
      </c>
      <c r="J8" s="5" t="str">
        <f t="shared" si="2"/>
        <v>Large</v>
      </c>
    </row>
    <row r="9">
      <c r="A9" s="1" t="s">
        <v>10</v>
      </c>
      <c r="B9" s="1">
        <v>55603.0</v>
      </c>
      <c r="C9" s="1">
        <v>64528.0</v>
      </c>
      <c r="D9" s="1">
        <v>64513.0</v>
      </c>
      <c r="E9" s="1">
        <v>63066.0</v>
      </c>
      <c r="F9" s="1">
        <v>74912.0</v>
      </c>
      <c r="G9" s="1">
        <v>85320.0</v>
      </c>
      <c r="H9" s="1">
        <v>91846.0</v>
      </c>
      <c r="I9" s="4">
        <f t="shared" si="1"/>
        <v>0.651817348</v>
      </c>
      <c r="J9" s="5" t="str">
        <f t="shared" si="2"/>
        <v>Small</v>
      </c>
    </row>
    <row r="10">
      <c r="A10" s="1" t="s">
        <v>11</v>
      </c>
      <c r="B10" s="1">
        <v>2.0386045E7</v>
      </c>
      <c r="C10" s="1">
        <v>2.3878327E7</v>
      </c>
      <c r="D10" s="1">
        <v>2.8011596E7</v>
      </c>
      <c r="E10" s="1">
        <v>3.2755901E7</v>
      </c>
      <c r="F10" s="1">
        <v>3.7213984E7</v>
      </c>
      <c r="G10" s="1">
        <v>4.1288694E7</v>
      </c>
      <c r="H10" s="1">
        <v>4.5191965E7</v>
      </c>
      <c r="I10" s="4">
        <f t="shared" si="1"/>
        <v>1.216808851</v>
      </c>
      <c r="J10" s="5" t="str">
        <f t="shared" si="2"/>
        <v>Large</v>
      </c>
    </row>
    <row r="11">
      <c r="A11" s="1" t="s">
        <v>12</v>
      </c>
      <c r="B11" s="1">
        <v>1863705.0</v>
      </c>
      <c r="C11" s="1">
        <v>2475633.0</v>
      </c>
      <c r="D11" s="1">
        <v>3107415.0</v>
      </c>
      <c r="E11" s="1">
        <v>3552128.0</v>
      </c>
      <c r="F11" s="1">
        <v>3221100.0</v>
      </c>
      <c r="G11" s="1">
        <v>3044800.0</v>
      </c>
      <c r="H11" s="1">
        <v>2961500.0</v>
      </c>
      <c r="I11" s="4">
        <f t="shared" si="1"/>
        <v>0.5890390378</v>
      </c>
      <c r="J11" s="5" t="str">
        <f t="shared" si="2"/>
        <v>Medium</v>
      </c>
    </row>
    <row r="12">
      <c r="A12" s="1" t="s">
        <v>13</v>
      </c>
      <c r="B12" s="1">
        <v>54922.0</v>
      </c>
      <c r="C12" s="1">
        <v>58950.0</v>
      </c>
      <c r="D12" s="1">
        <v>59909.0</v>
      </c>
      <c r="E12" s="1">
        <v>62753.0</v>
      </c>
      <c r="F12" s="1">
        <v>90588.0</v>
      </c>
      <c r="G12" s="1">
        <v>101838.0</v>
      </c>
      <c r="H12" s="1">
        <v>108587.0</v>
      </c>
      <c r="I12" s="4">
        <f t="shared" si="1"/>
        <v>0.9771129966</v>
      </c>
      <c r="J12" s="5" t="str">
        <f t="shared" si="2"/>
        <v>Small</v>
      </c>
    </row>
    <row r="13">
      <c r="A13" s="1" t="s">
        <v>14</v>
      </c>
      <c r="B13" s="1">
        <v>1.0276477E7</v>
      </c>
      <c r="C13" s="1">
        <v>1.2507E7</v>
      </c>
      <c r="D13" s="1">
        <v>1.4692E7</v>
      </c>
      <c r="E13" s="1">
        <v>1.7065128E7</v>
      </c>
      <c r="F13" s="1">
        <v>1.9028802E7</v>
      </c>
      <c r="G13" s="1">
        <v>2.203175E7</v>
      </c>
      <c r="H13" s="1">
        <v>2.5649248E7</v>
      </c>
      <c r="I13" s="4">
        <f t="shared" si="1"/>
        <v>1.495918397</v>
      </c>
      <c r="J13" s="5" t="str">
        <f t="shared" si="2"/>
        <v>Large</v>
      </c>
    </row>
    <row r="14">
      <c r="A14" s="1" t="s">
        <v>15</v>
      </c>
      <c r="B14" s="1">
        <v>7047539.0</v>
      </c>
      <c r="C14" s="1">
        <v>7467086.0</v>
      </c>
      <c r="D14" s="1">
        <v>7549433.0</v>
      </c>
      <c r="E14" s="1">
        <v>7677850.0</v>
      </c>
      <c r="F14" s="1">
        <v>8011566.0</v>
      </c>
      <c r="G14" s="1">
        <v>8363404.0</v>
      </c>
      <c r="H14" s="1">
        <v>8916864.0</v>
      </c>
      <c r="I14" s="4">
        <f t="shared" si="1"/>
        <v>0.2652450735</v>
      </c>
      <c r="J14" s="5" t="str">
        <f t="shared" si="2"/>
        <v>Medium</v>
      </c>
    </row>
    <row r="15">
      <c r="A15" s="1" t="s">
        <v>16</v>
      </c>
      <c r="B15" s="1">
        <v>3894500.0</v>
      </c>
      <c r="C15" s="1">
        <v>5172050.0</v>
      </c>
      <c r="D15" s="1">
        <v>6160500.0</v>
      </c>
      <c r="E15" s="1">
        <v>7175200.0</v>
      </c>
      <c r="F15" s="1">
        <v>8048600.0</v>
      </c>
      <c r="G15" s="1">
        <v>9054332.0</v>
      </c>
      <c r="H15" s="1">
        <v>1.0093121E7</v>
      </c>
      <c r="I15" s="4">
        <f t="shared" si="1"/>
        <v>1.591634613</v>
      </c>
      <c r="J15" s="5" t="str">
        <f t="shared" si="2"/>
        <v>Large</v>
      </c>
    </row>
    <row r="16">
      <c r="A16" s="1" t="s">
        <v>17</v>
      </c>
      <c r="B16" s="1">
        <v>116317.0</v>
      </c>
      <c r="C16" s="1">
        <v>184982.0</v>
      </c>
      <c r="D16" s="1">
        <v>232526.0</v>
      </c>
      <c r="E16" s="1">
        <v>275945.0</v>
      </c>
      <c r="F16" s="1">
        <v>323835.0</v>
      </c>
      <c r="G16" s="1">
        <v>367478.0</v>
      </c>
      <c r="H16" s="1">
        <v>395863.0</v>
      </c>
      <c r="I16" s="4">
        <f t="shared" si="1"/>
        <v>2.40331164</v>
      </c>
      <c r="J16" s="5" t="str">
        <f t="shared" si="2"/>
        <v>Small</v>
      </c>
    </row>
    <row r="17">
      <c r="A17" s="1" t="s">
        <v>18</v>
      </c>
      <c r="B17" s="1">
        <v>165477.0</v>
      </c>
      <c r="C17" s="1">
        <v>224809.0</v>
      </c>
      <c r="D17" s="1">
        <v>358978.0</v>
      </c>
      <c r="E17" s="1">
        <v>514797.0</v>
      </c>
      <c r="F17" s="1">
        <v>637582.0</v>
      </c>
      <c r="G17" s="1">
        <v>1228543.0</v>
      </c>
      <c r="H17" s="1">
        <v>1472204.0</v>
      </c>
      <c r="I17" s="4">
        <f t="shared" si="1"/>
        <v>7.896728851</v>
      </c>
      <c r="J17" s="5" t="str">
        <f t="shared" si="2"/>
        <v>Medium</v>
      </c>
    </row>
    <row r="18">
      <c r="A18" s="1" t="s">
        <v>19</v>
      </c>
      <c r="B18" s="1">
        <v>5.182866E7</v>
      </c>
      <c r="C18" s="1">
        <v>6.9058894E7</v>
      </c>
      <c r="D18" s="1">
        <v>8.8016432E7</v>
      </c>
      <c r="E18" s="1">
        <v>1.11633717E8</v>
      </c>
      <c r="F18" s="1">
        <v>1.34544304E8</v>
      </c>
      <c r="G18" s="1">
        <v>1.52201981E8</v>
      </c>
      <c r="H18" s="1">
        <v>1.66298024E8</v>
      </c>
      <c r="I18" s="4">
        <f t="shared" si="1"/>
        <v>2.208611297</v>
      </c>
      <c r="J18" s="5" t="str">
        <f t="shared" si="2"/>
        <v>Large</v>
      </c>
    </row>
    <row r="19">
      <c r="A19" s="1" t="s">
        <v>20</v>
      </c>
      <c r="B19" s="1">
        <v>230893.0</v>
      </c>
      <c r="C19" s="1">
        <v>249387.0</v>
      </c>
      <c r="D19" s="1">
        <v>251524.0</v>
      </c>
      <c r="E19" s="1">
        <v>258582.0</v>
      </c>
      <c r="F19" s="1">
        <v>262063.0</v>
      </c>
      <c r="G19" s="1">
        <v>275243.0</v>
      </c>
      <c r="H19" s="1">
        <v>281698.0</v>
      </c>
      <c r="I19" s="4">
        <f t="shared" si="1"/>
        <v>0.2200369868</v>
      </c>
      <c r="J19" s="5" t="str">
        <f t="shared" si="2"/>
        <v>Small</v>
      </c>
    </row>
    <row r="20">
      <c r="A20" s="1" t="s">
        <v>21</v>
      </c>
      <c r="B20" s="1">
        <v>8198000.0</v>
      </c>
      <c r="C20" s="1">
        <v>9040000.0</v>
      </c>
      <c r="D20" s="1">
        <v>9643000.0</v>
      </c>
      <c r="E20" s="1">
        <v>1.0189348E7</v>
      </c>
      <c r="F20" s="1">
        <v>9979610.0</v>
      </c>
      <c r="G20" s="1">
        <v>9483836.0</v>
      </c>
      <c r="H20" s="1">
        <v>9379952.0</v>
      </c>
      <c r="I20" s="4">
        <f t="shared" si="1"/>
        <v>0.1441756526</v>
      </c>
      <c r="J20" s="5" t="str">
        <f t="shared" si="2"/>
        <v>Medium</v>
      </c>
    </row>
    <row r="21">
      <c r="A21" s="1" t="s">
        <v>22</v>
      </c>
      <c r="B21" s="1">
        <v>9153489.0</v>
      </c>
      <c r="C21" s="1">
        <v>9655549.0</v>
      </c>
      <c r="D21" s="1">
        <v>9859242.0</v>
      </c>
      <c r="E21" s="1">
        <v>9967379.0</v>
      </c>
      <c r="F21" s="1">
        <v>1.025125E7</v>
      </c>
      <c r="G21" s="1">
        <v>1.0895586E7</v>
      </c>
      <c r="H21" s="1">
        <v>1.1538604E7</v>
      </c>
      <c r="I21" s="4">
        <f t="shared" si="1"/>
        <v>0.2605689481</v>
      </c>
      <c r="J21" s="5" t="str">
        <f t="shared" si="2"/>
        <v>Large</v>
      </c>
    </row>
    <row r="22">
      <c r="A22" s="1" t="s">
        <v>23</v>
      </c>
      <c r="B22" s="1">
        <v>91318.0</v>
      </c>
      <c r="C22" s="1">
        <v>120736.0</v>
      </c>
      <c r="D22" s="1">
        <v>145062.0</v>
      </c>
      <c r="E22" s="1">
        <v>183076.0</v>
      </c>
      <c r="F22" s="1">
        <v>240799.0</v>
      </c>
      <c r="G22" s="1">
        <v>320245.0</v>
      </c>
      <c r="H22" s="1">
        <v>390812.0</v>
      </c>
      <c r="I22" s="4">
        <f t="shared" si="1"/>
        <v>3.27968199</v>
      </c>
      <c r="J22" s="5" t="str">
        <f t="shared" si="2"/>
        <v>Small</v>
      </c>
    </row>
    <row r="23">
      <c r="A23" s="1" t="s">
        <v>24</v>
      </c>
      <c r="B23" s="1">
        <v>2517286.0</v>
      </c>
      <c r="C23" s="1">
        <v>3065057.0</v>
      </c>
      <c r="D23" s="1">
        <v>3925251.0</v>
      </c>
      <c r="E23" s="1">
        <v>5281479.0</v>
      </c>
      <c r="F23" s="1">
        <v>7221619.0</v>
      </c>
      <c r="G23" s="1">
        <v>9797484.0</v>
      </c>
      <c r="H23" s="1">
        <v>1.3070169E7</v>
      </c>
      <c r="I23" s="4">
        <f t="shared" si="1"/>
        <v>4.192166881</v>
      </c>
      <c r="J23" s="5" t="str">
        <f t="shared" si="2"/>
        <v>Large</v>
      </c>
    </row>
    <row r="24">
      <c r="A24" s="1" t="s">
        <v>25</v>
      </c>
      <c r="B24" s="1">
        <v>42208.0</v>
      </c>
      <c r="C24" s="1">
        <v>52124.0</v>
      </c>
      <c r="D24" s="1">
        <v>53673.0</v>
      </c>
      <c r="E24" s="1">
        <v>57559.0</v>
      </c>
      <c r="F24" s="1">
        <v>61550.0</v>
      </c>
      <c r="G24" s="1">
        <v>63725.0</v>
      </c>
      <c r="H24" s="1">
        <v>64382.0</v>
      </c>
      <c r="I24" s="4">
        <f t="shared" si="1"/>
        <v>0.5253506444</v>
      </c>
      <c r="J24" s="5" t="str">
        <f t="shared" si="2"/>
        <v>Small</v>
      </c>
    </row>
    <row r="25">
      <c r="A25" s="1" t="s">
        <v>26</v>
      </c>
      <c r="B25" s="1">
        <v>224084.0</v>
      </c>
      <c r="C25" s="1">
        <v>308528.0</v>
      </c>
      <c r="D25" s="1">
        <v>433404.0</v>
      </c>
      <c r="E25" s="1">
        <v>589287.0</v>
      </c>
      <c r="F25" s="1">
        <v>596863.0</v>
      </c>
      <c r="G25" s="1">
        <v>701632.0</v>
      </c>
      <c r="H25" s="1">
        <v>770006.0</v>
      </c>
      <c r="I25" s="4">
        <f t="shared" si="1"/>
        <v>2.436238196</v>
      </c>
      <c r="J25" s="5" t="str">
        <f t="shared" si="2"/>
        <v>Small</v>
      </c>
    </row>
    <row r="26">
      <c r="A26" s="1" t="s">
        <v>27</v>
      </c>
      <c r="B26" s="1">
        <v>3702323.0</v>
      </c>
      <c r="C26" s="1">
        <v>4590010.0</v>
      </c>
      <c r="D26" s="1">
        <v>5758900.0</v>
      </c>
      <c r="E26" s="1">
        <v>7130142.0</v>
      </c>
      <c r="F26" s="1">
        <v>8606326.0</v>
      </c>
      <c r="G26" s="1">
        <v>1.0182345E7</v>
      </c>
      <c r="H26" s="1">
        <v>1.1816299E7</v>
      </c>
      <c r="I26" s="4">
        <f t="shared" si="1"/>
        <v>2.191590523</v>
      </c>
      <c r="J26" s="5" t="str">
        <f t="shared" si="2"/>
        <v>Large</v>
      </c>
    </row>
    <row r="27">
      <c r="A27" s="1" t="s">
        <v>28</v>
      </c>
      <c r="B27" s="1">
        <v>3281381.0</v>
      </c>
      <c r="C27" s="1">
        <v>3773247.0</v>
      </c>
      <c r="D27" s="1">
        <v>4148426.0</v>
      </c>
      <c r="E27" s="1">
        <v>4448652.0</v>
      </c>
      <c r="F27" s="1">
        <v>4159771.0</v>
      </c>
      <c r="G27" s="1">
        <v>3811472.0</v>
      </c>
      <c r="H27" s="1">
        <v>3299349.0</v>
      </c>
      <c r="I27" s="4">
        <f t="shared" si="1"/>
        <v>0.005475743292</v>
      </c>
      <c r="J27" s="5" t="str">
        <f t="shared" si="2"/>
        <v>Medium</v>
      </c>
    </row>
    <row r="28">
      <c r="A28" s="1" t="s">
        <v>29</v>
      </c>
      <c r="B28" s="1">
        <v>516165.0</v>
      </c>
      <c r="C28" s="1">
        <v>590334.0</v>
      </c>
      <c r="D28" s="1">
        <v>937485.0</v>
      </c>
      <c r="E28" s="1">
        <v>1305696.0</v>
      </c>
      <c r="F28" s="1">
        <v>1677382.0</v>
      </c>
      <c r="G28" s="1">
        <v>2033111.0</v>
      </c>
      <c r="H28" s="1">
        <v>2365894.0</v>
      </c>
      <c r="I28" s="4">
        <f t="shared" si="1"/>
        <v>3.583600205</v>
      </c>
      <c r="J28" s="5" t="str">
        <f t="shared" si="2"/>
        <v>Medium</v>
      </c>
    </row>
    <row r="29">
      <c r="A29" s="1" t="s">
        <v>30</v>
      </c>
      <c r="B29" s="1">
        <v>7.2388126E7</v>
      </c>
      <c r="C29" s="1">
        <v>9.5375651E7</v>
      </c>
      <c r="D29" s="1">
        <v>1.21207461E8</v>
      </c>
      <c r="E29" s="1">
        <v>1.49143223E8</v>
      </c>
      <c r="F29" s="1">
        <v>1.74018282E8</v>
      </c>
      <c r="G29" s="1">
        <v>1.93701929E8</v>
      </c>
      <c r="H29" s="1">
        <v>2.08660842E8</v>
      </c>
      <c r="I29" s="4">
        <f t="shared" si="1"/>
        <v>1.882528579</v>
      </c>
      <c r="J29" s="5" t="str">
        <f t="shared" si="2"/>
        <v>Large</v>
      </c>
    </row>
    <row r="30">
      <c r="A30" s="1" t="s">
        <v>31</v>
      </c>
      <c r="B30" s="1">
        <v>7950.0</v>
      </c>
      <c r="C30" s="1">
        <v>9933.0</v>
      </c>
      <c r="D30" s="1">
        <v>11130.0</v>
      </c>
      <c r="E30" s="1">
        <v>15704.0</v>
      </c>
      <c r="F30" s="1">
        <v>20241.0</v>
      </c>
      <c r="G30" s="1">
        <v>27675.0</v>
      </c>
      <c r="H30" s="1">
        <v>37135.0</v>
      </c>
      <c r="I30" s="4">
        <f t="shared" si="1"/>
        <v>3.671069182</v>
      </c>
      <c r="J30" s="5" t="str">
        <f t="shared" si="2"/>
        <v>Small</v>
      </c>
    </row>
    <row r="31">
      <c r="A31" s="1" t="s">
        <v>32</v>
      </c>
      <c r="B31" s="1">
        <v>88347.0</v>
      </c>
      <c r="C31" s="1">
        <v>135138.0</v>
      </c>
      <c r="D31" s="1">
        <v>186111.0</v>
      </c>
      <c r="E31" s="1">
        <v>255292.0</v>
      </c>
      <c r="F31" s="1">
        <v>326424.0</v>
      </c>
      <c r="G31" s="1">
        <v>392332.0</v>
      </c>
      <c r="H31" s="1">
        <v>447404.0</v>
      </c>
      <c r="I31" s="4">
        <f t="shared" si="1"/>
        <v>4.064167431</v>
      </c>
      <c r="J31" s="5" t="str">
        <f t="shared" si="2"/>
        <v>Small</v>
      </c>
    </row>
    <row r="32">
      <c r="A32" s="1" t="s">
        <v>33</v>
      </c>
      <c r="B32" s="1">
        <v>7867374.0</v>
      </c>
      <c r="C32" s="1">
        <v>8489574.0</v>
      </c>
      <c r="D32" s="1">
        <v>8861535.0</v>
      </c>
      <c r="E32" s="1">
        <v>8718289.0</v>
      </c>
      <c r="F32" s="1">
        <v>8170172.0</v>
      </c>
      <c r="G32" s="1">
        <v>7395599.0</v>
      </c>
      <c r="H32" s="1">
        <v>6550696.0</v>
      </c>
      <c r="I32" s="4">
        <f t="shared" si="1"/>
        <v>-0.1673592739</v>
      </c>
      <c r="J32" s="5" t="str">
        <f t="shared" si="2"/>
        <v>Medium</v>
      </c>
    </row>
    <row r="33">
      <c r="A33" s="1" t="s">
        <v>34</v>
      </c>
      <c r="B33" s="1">
        <v>4778621.0</v>
      </c>
      <c r="C33" s="1">
        <v>5610304.0</v>
      </c>
      <c r="D33" s="1">
        <v>6947900.0</v>
      </c>
      <c r="E33" s="1">
        <v>9159356.0</v>
      </c>
      <c r="F33" s="1">
        <v>1.1925546E7</v>
      </c>
      <c r="G33" s="1">
        <v>1.6176498E7</v>
      </c>
      <c r="H33" s="1">
        <v>2.147869E7</v>
      </c>
      <c r="I33" s="4">
        <f t="shared" si="1"/>
        <v>3.494746497</v>
      </c>
      <c r="J33" s="5" t="str">
        <f t="shared" si="2"/>
        <v>Large</v>
      </c>
    </row>
    <row r="34">
      <c r="A34" s="1" t="s">
        <v>35</v>
      </c>
      <c r="B34" s="1">
        <v>2764258.0</v>
      </c>
      <c r="C34" s="1">
        <v>3530432.0</v>
      </c>
      <c r="D34" s="1">
        <v>4383706.0</v>
      </c>
      <c r="E34" s="1">
        <v>5587052.0</v>
      </c>
      <c r="F34" s="1">
        <v>6470194.0</v>
      </c>
      <c r="G34" s="1">
        <v>9376444.0</v>
      </c>
      <c r="H34" s="1">
        <v>1.2617036E7</v>
      </c>
      <c r="I34" s="4">
        <f t="shared" si="1"/>
        <v>3.56434819</v>
      </c>
      <c r="J34" s="5" t="str">
        <f t="shared" si="2"/>
        <v>Large</v>
      </c>
    </row>
    <row r="35">
      <c r="A35" s="1" t="s">
        <v>36</v>
      </c>
      <c r="B35" s="1">
        <v>210024.0</v>
      </c>
      <c r="C35" s="1">
        <v>287885.0</v>
      </c>
      <c r="D35" s="1">
        <v>323301.0</v>
      </c>
      <c r="E35" s="1">
        <v>375428.0</v>
      </c>
      <c r="F35" s="1">
        <v>453317.0</v>
      </c>
      <c r="G35" s="1">
        <v>509784.0</v>
      </c>
      <c r="H35" s="1">
        <v>514679.0</v>
      </c>
      <c r="I35" s="4">
        <f t="shared" si="1"/>
        <v>1.450572316</v>
      </c>
      <c r="J35" s="5" t="str">
        <f t="shared" si="2"/>
        <v>Small</v>
      </c>
    </row>
    <row r="36">
      <c r="A36" s="1" t="s">
        <v>37</v>
      </c>
      <c r="B36" s="1">
        <v>5449966.0</v>
      </c>
      <c r="C36" s="1">
        <v>6639182.0</v>
      </c>
      <c r="D36" s="1">
        <v>5199872.0</v>
      </c>
      <c r="E36" s="1">
        <v>7374752.0</v>
      </c>
      <c r="F36" s="1">
        <v>1.2462336E7</v>
      </c>
      <c r="G36" s="1">
        <v>1.4500726E7</v>
      </c>
      <c r="H36" s="1">
        <v>1.6725474E7</v>
      </c>
      <c r="I36" s="4">
        <f t="shared" si="1"/>
        <v>2.068913457</v>
      </c>
      <c r="J36" s="5" t="str">
        <f t="shared" si="2"/>
        <v>Large</v>
      </c>
    </row>
    <row r="37">
      <c r="A37" s="1" t="s">
        <v>38</v>
      </c>
      <c r="B37" s="1">
        <v>5159057.0</v>
      </c>
      <c r="C37" s="1">
        <v>6449793.0</v>
      </c>
      <c r="D37" s="1">
        <v>8512219.0</v>
      </c>
      <c r="E37" s="1">
        <v>1.1331821E7</v>
      </c>
      <c r="F37" s="1">
        <v>1.4912631E7</v>
      </c>
      <c r="G37" s="1">
        <v>1.9668066E7</v>
      </c>
      <c r="H37" s="1">
        <v>2.6210558E7</v>
      </c>
      <c r="I37" s="4">
        <f t="shared" si="1"/>
        <v>4.080493974</v>
      </c>
      <c r="J37" s="5" t="str">
        <f t="shared" si="2"/>
        <v>Large</v>
      </c>
    </row>
    <row r="38">
      <c r="A38" s="1" t="s">
        <v>39</v>
      </c>
      <c r="B38" s="1">
        <v>1.7909356E7</v>
      </c>
      <c r="C38" s="1">
        <v>2.1324E7</v>
      </c>
      <c r="D38" s="1">
        <v>2.4515667E7</v>
      </c>
      <c r="E38" s="1">
        <v>2.7691138E7</v>
      </c>
      <c r="F38" s="1">
        <v>3.068573E7</v>
      </c>
      <c r="G38" s="1">
        <v>3.4005902E7</v>
      </c>
      <c r="H38" s="1">
        <v>3.8028638E7</v>
      </c>
      <c r="I38" s="4">
        <f t="shared" si="1"/>
        <v>1.123395057</v>
      </c>
      <c r="J38" s="5" t="str">
        <f t="shared" si="2"/>
        <v>Large</v>
      </c>
    </row>
    <row r="39">
      <c r="A39" s="1" t="s">
        <v>40</v>
      </c>
      <c r="B39" s="1">
        <v>8428.0</v>
      </c>
      <c r="C39" s="1">
        <v>10517.0</v>
      </c>
      <c r="D39" s="1">
        <v>17079.0</v>
      </c>
      <c r="E39" s="1">
        <v>25999.0</v>
      </c>
      <c r="F39" s="1">
        <v>39674.0</v>
      </c>
      <c r="G39" s="1">
        <v>54099.0</v>
      </c>
      <c r="H39" s="1">
        <v>68684.0</v>
      </c>
      <c r="I39" s="4">
        <f t="shared" si="1"/>
        <v>7.149501661</v>
      </c>
      <c r="J39" s="5" t="str">
        <f t="shared" si="2"/>
        <v>Small</v>
      </c>
    </row>
    <row r="40">
      <c r="A40" s="1" t="s">
        <v>41</v>
      </c>
      <c r="B40" s="1">
        <v>1702346.0</v>
      </c>
      <c r="C40" s="1">
        <v>2097505.0</v>
      </c>
      <c r="D40" s="1">
        <v>2450535.0</v>
      </c>
      <c r="E40" s="1">
        <v>2871910.0</v>
      </c>
      <c r="F40" s="1">
        <v>3833416.0</v>
      </c>
      <c r="G40" s="1">
        <v>4492995.0</v>
      </c>
      <c r="H40" s="1">
        <v>5026628.0</v>
      </c>
      <c r="I40" s="4">
        <f t="shared" si="1"/>
        <v>1.952765184</v>
      </c>
      <c r="J40" s="5" t="str">
        <f t="shared" si="2"/>
        <v>Medium</v>
      </c>
    </row>
    <row r="41">
      <c r="A41" s="1" t="s">
        <v>42</v>
      </c>
      <c r="B41" s="1">
        <v>9.1401309E7</v>
      </c>
      <c r="C41" s="1">
        <v>9.9134548E7</v>
      </c>
      <c r="D41" s="1">
        <v>1.06541316E8</v>
      </c>
      <c r="E41" s="1">
        <v>1.10743128E8</v>
      </c>
      <c r="F41" s="1">
        <v>1.08447824E8</v>
      </c>
      <c r="G41" s="1">
        <v>1.04421447E8</v>
      </c>
      <c r="H41" s="1">
        <v>1.01215763E8</v>
      </c>
      <c r="I41" s="4">
        <f t="shared" si="1"/>
        <v>0.1073776088</v>
      </c>
      <c r="J41" s="5" t="str">
        <f t="shared" si="2"/>
        <v>Large</v>
      </c>
    </row>
    <row r="42">
      <c r="A42" s="1" t="s">
        <v>43</v>
      </c>
      <c r="B42" s="1">
        <v>3049838.0</v>
      </c>
      <c r="C42" s="1">
        <v>3727828.0</v>
      </c>
      <c r="D42" s="1">
        <v>4515453.0</v>
      </c>
      <c r="E42" s="1">
        <v>5982833.0</v>
      </c>
      <c r="F42" s="1">
        <v>8512093.0</v>
      </c>
      <c r="G42" s="1">
        <v>1.2312575E7</v>
      </c>
      <c r="H42" s="1">
        <v>1.7224679E7</v>
      </c>
      <c r="I42" s="4">
        <f t="shared" si="1"/>
        <v>4.647735716</v>
      </c>
      <c r="J42" s="5" t="str">
        <f t="shared" si="2"/>
        <v>Large</v>
      </c>
    </row>
    <row r="43">
      <c r="A43" s="1" t="s">
        <v>44</v>
      </c>
      <c r="B43" s="1">
        <v>110808.0</v>
      </c>
      <c r="C43" s="1">
        <v>123288.0</v>
      </c>
      <c r="D43" s="1">
        <v>130462.0</v>
      </c>
      <c r="E43" s="1">
        <v>143087.0</v>
      </c>
      <c r="F43" s="1">
        <v>148110.0</v>
      </c>
      <c r="G43" s="1">
        <v>158621.0</v>
      </c>
      <c r="H43" s="1">
        <v>166235.0</v>
      </c>
      <c r="I43" s="4">
        <f t="shared" si="1"/>
        <v>0.5002075662</v>
      </c>
      <c r="J43" s="5" t="str">
        <f t="shared" si="2"/>
        <v>Small</v>
      </c>
    </row>
    <row r="44">
      <c r="A44" s="1" t="s">
        <v>45</v>
      </c>
      <c r="B44" s="1">
        <v>8153350.0</v>
      </c>
      <c r="C44" s="1">
        <v>9845344.0</v>
      </c>
      <c r="D44" s="1">
        <v>1.150855E7</v>
      </c>
      <c r="E44" s="1">
        <v>1.3437176E7</v>
      </c>
      <c r="F44" s="1">
        <v>1.5503635E7</v>
      </c>
      <c r="G44" s="1">
        <v>1.7181464E7</v>
      </c>
      <c r="H44" s="1">
        <v>1.9370624E7</v>
      </c>
      <c r="I44" s="4">
        <f t="shared" si="1"/>
        <v>1.37578713</v>
      </c>
      <c r="J44" s="5" t="str">
        <f t="shared" si="2"/>
        <v>Large</v>
      </c>
    </row>
    <row r="45">
      <c r="A45" s="1" t="s">
        <v>46</v>
      </c>
      <c r="B45" s="1">
        <v>6.6707E8</v>
      </c>
      <c r="C45" s="1">
        <v>8.18315E8</v>
      </c>
      <c r="D45" s="1">
        <v>9.81235E8</v>
      </c>
      <c r="E45" s="1">
        <v>1.135185E9</v>
      </c>
      <c r="F45" s="1">
        <v>1.262645E9</v>
      </c>
      <c r="G45" s="1">
        <v>1.337705E9</v>
      </c>
      <c r="H45" s="1">
        <v>1.4111E9</v>
      </c>
      <c r="I45" s="4">
        <f t="shared" si="1"/>
        <v>1.115370201</v>
      </c>
      <c r="J45" s="5" t="str">
        <f t="shared" si="2"/>
        <v>Large</v>
      </c>
    </row>
    <row r="46">
      <c r="A46" s="1" t="s">
        <v>47</v>
      </c>
      <c r="B46" s="1">
        <v>1.5606209E7</v>
      </c>
      <c r="C46" s="1">
        <v>2.0811782E7</v>
      </c>
      <c r="D46" s="1">
        <v>2.6104498E7</v>
      </c>
      <c r="E46" s="1">
        <v>3.2440069E7</v>
      </c>
      <c r="F46" s="1">
        <v>3.9089934E7</v>
      </c>
      <c r="G46" s="1">
        <v>4.4777319E7</v>
      </c>
      <c r="H46" s="1">
        <v>5.0629997E7</v>
      </c>
      <c r="I46" s="4">
        <f t="shared" si="1"/>
        <v>2.244221387</v>
      </c>
      <c r="J46" s="5" t="str">
        <f t="shared" si="2"/>
        <v>Large</v>
      </c>
    </row>
    <row r="47">
      <c r="A47" s="1" t="s">
        <v>48</v>
      </c>
      <c r="B47" s="1">
        <v>197700.0</v>
      </c>
      <c r="C47" s="1">
        <v>244185.0</v>
      </c>
      <c r="D47" s="1">
        <v>337721.0</v>
      </c>
      <c r="E47" s="1">
        <v>444596.0</v>
      </c>
      <c r="F47" s="1">
        <v>536080.0</v>
      </c>
      <c r="G47" s="1">
        <v>654836.0</v>
      </c>
      <c r="H47" s="1">
        <v>802163.0</v>
      </c>
      <c r="I47" s="4">
        <f t="shared" si="1"/>
        <v>3.057475974</v>
      </c>
      <c r="J47" s="5" t="str">
        <f t="shared" si="2"/>
        <v>Small</v>
      </c>
    </row>
    <row r="48">
      <c r="A48" s="1" t="s">
        <v>49</v>
      </c>
      <c r="B48" s="1">
        <v>1.5264846E7</v>
      </c>
      <c r="C48" s="1">
        <v>2.0137436E7</v>
      </c>
      <c r="D48" s="1">
        <v>2.6711099E7</v>
      </c>
      <c r="E48" s="1">
        <v>3.6684063E7</v>
      </c>
      <c r="F48" s="1">
        <v>5.0507442E7</v>
      </c>
      <c r="G48" s="1">
        <v>6.8563038E7</v>
      </c>
      <c r="H48" s="1">
        <v>9.5989998E7</v>
      </c>
      <c r="I48" s="4">
        <f t="shared" si="1"/>
        <v>5.288304383</v>
      </c>
      <c r="J48" s="5" t="str">
        <f t="shared" si="2"/>
        <v>Large</v>
      </c>
    </row>
    <row r="49">
      <c r="A49" s="1" t="s">
        <v>50</v>
      </c>
      <c r="B49" s="1">
        <v>1056732.0</v>
      </c>
      <c r="C49" s="1">
        <v>1397638.0</v>
      </c>
      <c r="D49" s="1">
        <v>1828985.0</v>
      </c>
      <c r="E49" s="1">
        <v>2380560.0</v>
      </c>
      <c r="F49" s="1">
        <v>3151345.0</v>
      </c>
      <c r="G49" s="1">
        <v>4462290.0</v>
      </c>
      <c r="H49" s="1">
        <v>5752791.0</v>
      </c>
      <c r="I49" s="4">
        <f t="shared" si="1"/>
        <v>4.443945106</v>
      </c>
      <c r="J49" s="5" t="str">
        <f t="shared" si="2"/>
        <v>Medium</v>
      </c>
    </row>
    <row r="50">
      <c r="A50" s="1" t="s">
        <v>51</v>
      </c>
      <c r="B50" s="1">
        <v>1327496.0</v>
      </c>
      <c r="C50" s="1">
        <v>1838949.0</v>
      </c>
      <c r="D50" s="1">
        <v>2390633.0</v>
      </c>
      <c r="E50" s="1">
        <v>3121706.0</v>
      </c>
      <c r="F50" s="1">
        <v>3937739.0</v>
      </c>
      <c r="G50" s="1">
        <v>4555962.0</v>
      </c>
      <c r="H50" s="1">
        <v>5034320.0</v>
      </c>
      <c r="I50" s="4">
        <f t="shared" si="1"/>
        <v>2.792342877</v>
      </c>
      <c r="J50" s="5" t="str">
        <f t="shared" si="2"/>
        <v>Medium</v>
      </c>
    </row>
    <row r="51">
      <c r="A51" s="1" t="s">
        <v>52</v>
      </c>
      <c r="B51" s="1">
        <v>3673666.0</v>
      </c>
      <c r="C51" s="1">
        <v>5411567.0</v>
      </c>
      <c r="D51" s="1">
        <v>8220714.0</v>
      </c>
      <c r="E51" s="1">
        <v>1.2189778E7</v>
      </c>
      <c r="F51" s="1">
        <v>1.7699004E7</v>
      </c>
      <c r="G51" s="1">
        <v>2.2488065E7</v>
      </c>
      <c r="H51" s="1">
        <v>2.8915449E7</v>
      </c>
      <c r="I51" s="4">
        <f t="shared" si="1"/>
        <v>6.87100651</v>
      </c>
      <c r="J51" s="5" t="str">
        <f t="shared" si="2"/>
        <v>Large</v>
      </c>
    </row>
    <row r="52">
      <c r="A52" s="1" t="s">
        <v>53</v>
      </c>
      <c r="B52" s="1">
        <v>4140181.0</v>
      </c>
      <c r="C52" s="1">
        <v>4412252.0</v>
      </c>
      <c r="D52" s="1">
        <v>4599782.0</v>
      </c>
      <c r="E52" s="1">
        <v>4777368.0</v>
      </c>
      <c r="F52" s="1">
        <v>4468302.0</v>
      </c>
      <c r="G52" s="1">
        <v>4295427.0</v>
      </c>
      <c r="H52" s="1">
        <v>3914206.0</v>
      </c>
      <c r="I52" s="4">
        <f t="shared" si="1"/>
        <v>-0.05458094706</v>
      </c>
      <c r="J52" s="5" t="str">
        <f t="shared" si="2"/>
        <v>Medium</v>
      </c>
    </row>
    <row r="53">
      <c r="A53" s="1" t="s">
        <v>54</v>
      </c>
      <c r="B53" s="1">
        <v>7238081.0</v>
      </c>
      <c r="C53" s="1">
        <v>8824382.0</v>
      </c>
      <c r="D53" s="1">
        <v>9804796.0</v>
      </c>
      <c r="E53" s="1">
        <v>1.0631799E7</v>
      </c>
      <c r="F53" s="1">
        <v>1.1109109E7</v>
      </c>
      <c r="G53" s="1">
        <v>1.1297409E7</v>
      </c>
      <c r="H53" s="1">
        <v>1.1176354E7</v>
      </c>
      <c r="I53" s="4">
        <f t="shared" si="1"/>
        <v>0.5441045769</v>
      </c>
      <c r="J53" s="5" t="str">
        <f t="shared" si="2"/>
        <v>Large</v>
      </c>
    </row>
    <row r="54">
      <c r="A54" s="1" t="s">
        <v>55</v>
      </c>
      <c r="B54" s="1">
        <v>124826.0</v>
      </c>
      <c r="C54" s="1">
        <v>144739.0</v>
      </c>
      <c r="D54" s="1">
        <v>148041.0</v>
      </c>
      <c r="E54" s="1">
        <v>145400.0</v>
      </c>
      <c r="F54" s="1">
        <v>133860.0</v>
      </c>
      <c r="G54" s="1">
        <v>148703.0</v>
      </c>
      <c r="H54" s="1">
        <v>155482.0</v>
      </c>
      <c r="I54" s="4">
        <f t="shared" si="1"/>
        <v>0.2455898611</v>
      </c>
      <c r="J54" s="5" t="str">
        <f t="shared" si="2"/>
        <v>Small</v>
      </c>
    </row>
    <row r="55">
      <c r="A55" s="1" t="s">
        <v>56</v>
      </c>
      <c r="B55" s="1">
        <v>586490.0</v>
      </c>
      <c r="C55" s="1">
        <v>647446.0</v>
      </c>
      <c r="D55" s="1">
        <v>683076.0</v>
      </c>
      <c r="E55" s="1">
        <v>788351.0</v>
      </c>
      <c r="F55" s="1">
        <v>947667.0</v>
      </c>
      <c r="G55" s="1">
        <v>1127816.0</v>
      </c>
      <c r="H55" s="1">
        <v>1302247.0</v>
      </c>
      <c r="I55" s="4">
        <f t="shared" si="1"/>
        <v>1.22040785</v>
      </c>
      <c r="J55" s="5" t="str">
        <f t="shared" si="2"/>
        <v>Medium</v>
      </c>
    </row>
    <row r="56">
      <c r="A56" s="1" t="s">
        <v>57</v>
      </c>
      <c r="B56" s="1">
        <v>9602006.0</v>
      </c>
      <c r="C56" s="1">
        <v>9858071.0</v>
      </c>
      <c r="D56" s="1">
        <v>1.0304193E7</v>
      </c>
      <c r="E56" s="1">
        <v>1.0333355E7</v>
      </c>
      <c r="F56" s="1">
        <v>1.0255063E7</v>
      </c>
      <c r="G56" s="1">
        <v>1.047441E7</v>
      </c>
      <c r="H56" s="1">
        <v>1.0697858E7</v>
      </c>
      <c r="I56" s="4">
        <f t="shared" si="1"/>
        <v>0.1141274021</v>
      </c>
      <c r="J56" s="5" t="str">
        <f t="shared" si="2"/>
        <v>Large</v>
      </c>
    </row>
    <row r="57">
      <c r="A57" s="1" t="s">
        <v>58</v>
      </c>
      <c r="B57" s="1">
        <v>4579603.0</v>
      </c>
      <c r="C57" s="1">
        <v>4928757.0</v>
      </c>
      <c r="D57" s="1">
        <v>5123027.0</v>
      </c>
      <c r="E57" s="1">
        <v>5140939.0</v>
      </c>
      <c r="F57" s="1">
        <v>5339616.0</v>
      </c>
      <c r="G57" s="1">
        <v>5547683.0</v>
      </c>
      <c r="H57" s="1">
        <v>5831404.0</v>
      </c>
      <c r="I57" s="4">
        <f t="shared" si="1"/>
        <v>0.2733426893</v>
      </c>
      <c r="J57" s="5" t="str">
        <f t="shared" si="2"/>
        <v>Medium</v>
      </c>
    </row>
    <row r="58">
      <c r="A58" s="1" t="s">
        <v>59</v>
      </c>
      <c r="B58" s="1">
        <v>86024.0</v>
      </c>
      <c r="C58" s="1">
        <v>145175.0</v>
      </c>
      <c r="D58" s="1">
        <v>325815.0</v>
      </c>
      <c r="E58" s="1">
        <v>579538.0</v>
      </c>
      <c r="F58" s="1">
        <v>747318.0</v>
      </c>
      <c r="G58" s="1">
        <v>930251.0</v>
      </c>
      <c r="H58" s="1">
        <v>1105188.0</v>
      </c>
      <c r="I58" s="4">
        <f t="shared" si="1"/>
        <v>11.84743792</v>
      </c>
      <c r="J58" s="5" t="str">
        <f t="shared" si="2"/>
        <v>Medium</v>
      </c>
    </row>
    <row r="59">
      <c r="A59" s="1" t="s">
        <v>60</v>
      </c>
      <c r="B59" s="1">
        <v>59372.0</v>
      </c>
      <c r="C59" s="1">
        <v>68908.0</v>
      </c>
      <c r="D59" s="1">
        <v>73083.0</v>
      </c>
      <c r="E59" s="1">
        <v>69627.0</v>
      </c>
      <c r="F59" s="1">
        <v>68511.0</v>
      </c>
      <c r="G59" s="1">
        <v>68859.0</v>
      </c>
      <c r="H59" s="1">
        <v>67573.0</v>
      </c>
      <c r="I59" s="4">
        <f t="shared" si="1"/>
        <v>0.1381290844</v>
      </c>
      <c r="J59" s="5" t="str">
        <f t="shared" si="2"/>
        <v>Small</v>
      </c>
    </row>
    <row r="60">
      <c r="A60" s="1" t="s">
        <v>61</v>
      </c>
      <c r="B60" s="1">
        <v>3268336.0</v>
      </c>
      <c r="C60" s="1">
        <v>4399290.0</v>
      </c>
      <c r="D60" s="1">
        <v>5729037.0</v>
      </c>
      <c r="E60" s="1">
        <v>7151166.0</v>
      </c>
      <c r="F60" s="1">
        <v>8584190.0</v>
      </c>
      <c r="G60" s="1">
        <v>9820175.0</v>
      </c>
      <c r="H60" s="1">
        <v>1.10083E7</v>
      </c>
      <c r="I60" s="4">
        <f t="shared" si="1"/>
        <v>2.368166553</v>
      </c>
      <c r="J60" s="5" t="str">
        <f t="shared" si="2"/>
        <v>Large</v>
      </c>
    </row>
    <row r="61">
      <c r="A61" s="1" t="s">
        <v>62</v>
      </c>
      <c r="B61" s="1">
        <v>4590891.0</v>
      </c>
      <c r="C61" s="1">
        <v>6155387.0</v>
      </c>
      <c r="D61" s="1">
        <v>8165877.0</v>
      </c>
      <c r="E61" s="1">
        <v>1.0473673E7</v>
      </c>
      <c r="F61" s="1">
        <v>1.2689206E7</v>
      </c>
      <c r="G61" s="1">
        <v>1.5076695E7</v>
      </c>
      <c r="H61" s="1">
        <v>1.7546065E7</v>
      </c>
      <c r="I61" s="4">
        <f t="shared" si="1"/>
        <v>2.821930209</v>
      </c>
      <c r="J61" s="5" t="str">
        <f t="shared" si="2"/>
        <v>Large</v>
      </c>
    </row>
    <row r="62">
      <c r="A62" s="1" t="s">
        <v>63</v>
      </c>
      <c r="B62" s="1">
        <v>2.6896479E7</v>
      </c>
      <c r="C62" s="1">
        <v>3.462399E7</v>
      </c>
      <c r="D62" s="1">
        <v>4.3950413E7</v>
      </c>
      <c r="E62" s="1">
        <v>5.8396618E7</v>
      </c>
      <c r="F62" s="1">
        <v>7.3083284E7</v>
      </c>
      <c r="G62" s="1">
        <v>8.9196072E7</v>
      </c>
      <c r="H62" s="1">
        <v>1.09315124E8</v>
      </c>
      <c r="I62" s="4">
        <f t="shared" si="1"/>
        <v>3.064291241</v>
      </c>
      <c r="J62" s="5" t="str">
        <f t="shared" si="2"/>
        <v>Large</v>
      </c>
    </row>
    <row r="63">
      <c r="A63" s="1" t="s">
        <v>64</v>
      </c>
      <c r="B63" s="1">
        <v>2791459.0</v>
      </c>
      <c r="C63" s="1">
        <v>3668796.0</v>
      </c>
      <c r="D63" s="1">
        <v>4540382.0</v>
      </c>
      <c r="E63" s="1">
        <v>5399726.0</v>
      </c>
      <c r="F63" s="1">
        <v>5943366.0</v>
      </c>
      <c r="G63" s="1">
        <v>6068249.0</v>
      </c>
      <c r="H63" s="1">
        <v>6234673.0</v>
      </c>
      <c r="I63" s="4">
        <f t="shared" si="1"/>
        <v>1.233481846</v>
      </c>
      <c r="J63" s="5" t="str">
        <f t="shared" si="2"/>
        <v>Medium</v>
      </c>
    </row>
    <row r="64">
      <c r="A64" s="1" t="s">
        <v>65</v>
      </c>
      <c r="B64" s="1">
        <v>269807.0</v>
      </c>
      <c r="C64" s="1">
        <v>320803.0</v>
      </c>
      <c r="D64" s="1">
        <v>288644.0</v>
      </c>
      <c r="E64" s="1">
        <v>474274.0</v>
      </c>
      <c r="F64" s="1">
        <v>703279.0</v>
      </c>
      <c r="G64" s="1">
        <v>1189085.0</v>
      </c>
      <c r="H64" s="1">
        <v>1716468.0</v>
      </c>
      <c r="I64" s="4">
        <f t="shared" si="1"/>
        <v>5.361836424</v>
      </c>
      <c r="J64" s="5" t="str">
        <f t="shared" si="2"/>
        <v>Medium</v>
      </c>
    </row>
    <row r="65">
      <c r="A65" s="1" t="s">
        <v>66</v>
      </c>
      <c r="B65" s="1">
        <v>972547.0</v>
      </c>
      <c r="C65" s="1">
        <v>1243453.0</v>
      </c>
      <c r="D65" s="1">
        <v>1605797.0</v>
      </c>
      <c r="E65" s="1">
        <v>2032737.0</v>
      </c>
      <c r="F65" s="1">
        <v>2247031.0</v>
      </c>
      <c r="G65" s="1">
        <v>2945186.0</v>
      </c>
      <c r="H65" s="1">
        <v>3291271.0</v>
      </c>
      <c r="I65" s="4">
        <f t="shared" si="1"/>
        <v>2.384176806</v>
      </c>
      <c r="J65" s="5" t="str">
        <f t="shared" si="2"/>
        <v>Medium</v>
      </c>
    </row>
    <row r="66">
      <c r="A66" s="1" t="s">
        <v>67</v>
      </c>
      <c r="B66" s="1">
        <v>1211537.0</v>
      </c>
      <c r="C66" s="1">
        <v>1360076.0</v>
      </c>
      <c r="D66" s="1">
        <v>1477219.0</v>
      </c>
      <c r="E66" s="1">
        <v>1569174.0</v>
      </c>
      <c r="F66" s="1">
        <v>1396985.0</v>
      </c>
      <c r="G66" s="1">
        <v>1331475.0</v>
      </c>
      <c r="H66" s="1">
        <v>1329522.0</v>
      </c>
      <c r="I66" s="4">
        <f t="shared" si="1"/>
        <v>0.09738456192</v>
      </c>
      <c r="J66" s="5" t="str">
        <f t="shared" si="2"/>
        <v>Medium</v>
      </c>
    </row>
    <row r="67">
      <c r="A67" s="1" t="s">
        <v>68</v>
      </c>
      <c r="B67" s="1">
        <v>345337.0</v>
      </c>
      <c r="C67" s="1">
        <v>441216.0</v>
      </c>
      <c r="D67" s="1">
        <v>596644.0</v>
      </c>
      <c r="E67" s="1">
        <v>872428.0</v>
      </c>
      <c r="F67" s="1">
        <v>1041414.0</v>
      </c>
      <c r="G67" s="1">
        <v>1111650.0</v>
      </c>
      <c r="H67" s="1">
        <v>1192729.0</v>
      </c>
      <c r="I67" s="4">
        <f t="shared" si="1"/>
        <v>2.453811784</v>
      </c>
      <c r="J67" s="5" t="str">
        <f t="shared" si="2"/>
        <v>Medium</v>
      </c>
    </row>
    <row r="68">
      <c r="A68" s="1" t="s">
        <v>69</v>
      </c>
      <c r="B68" s="1">
        <v>2.1376693E7</v>
      </c>
      <c r="C68" s="1">
        <v>2.7829128E7</v>
      </c>
      <c r="D68" s="1">
        <v>3.4428514E7</v>
      </c>
      <c r="E68" s="1">
        <v>4.7609755E7</v>
      </c>
      <c r="F68" s="1">
        <v>6.7411494E7</v>
      </c>
      <c r="G68" s="1">
        <v>9.0538514E7</v>
      </c>
      <c r="H68" s="1">
        <v>1.18917671E8</v>
      </c>
      <c r="I68" s="4">
        <f t="shared" si="1"/>
        <v>4.5629592</v>
      </c>
      <c r="J68" s="5" t="str">
        <f t="shared" si="2"/>
        <v>Large</v>
      </c>
    </row>
    <row r="69">
      <c r="A69" s="1" t="s">
        <v>70</v>
      </c>
      <c r="B69" s="1">
        <v>34127.0</v>
      </c>
      <c r="C69" s="1">
        <v>38269.0</v>
      </c>
      <c r="D69" s="1">
        <v>43072.0</v>
      </c>
      <c r="E69" s="1">
        <v>47740.0</v>
      </c>
      <c r="F69" s="1">
        <v>45754.0</v>
      </c>
      <c r="G69" s="1">
        <v>48657.0</v>
      </c>
      <c r="H69" s="1">
        <v>52565.0</v>
      </c>
      <c r="I69" s="4">
        <f t="shared" si="1"/>
        <v>0.5402760278</v>
      </c>
      <c r="J69" s="5" t="str">
        <f t="shared" si="2"/>
        <v>Small</v>
      </c>
    </row>
    <row r="70">
      <c r="A70" s="1" t="s">
        <v>71</v>
      </c>
      <c r="B70" s="1">
        <v>404887.0</v>
      </c>
      <c r="C70" s="1">
        <v>531188.0</v>
      </c>
      <c r="D70" s="1">
        <v>641975.0</v>
      </c>
      <c r="E70" s="1">
        <v>773316.0</v>
      </c>
      <c r="F70" s="1">
        <v>840909.0</v>
      </c>
      <c r="G70" s="1">
        <v>910419.0</v>
      </c>
      <c r="H70" s="1">
        <v>914963.0</v>
      </c>
      <c r="I70" s="4">
        <f t="shared" si="1"/>
        <v>1.259798413</v>
      </c>
      <c r="J70" s="5" t="str">
        <f t="shared" si="2"/>
        <v>Small</v>
      </c>
    </row>
    <row r="71">
      <c r="A71" s="1" t="s">
        <v>72</v>
      </c>
      <c r="B71" s="1">
        <v>4429634.0</v>
      </c>
      <c r="C71" s="1">
        <v>4606307.0</v>
      </c>
      <c r="D71" s="1">
        <v>4779535.0</v>
      </c>
      <c r="E71" s="1">
        <v>4986431.0</v>
      </c>
      <c r="F71" s="1">
        <v>5176209.0</v>
      </c>
      <c r="G71" s="1">
        <v>5363352.0</v>
      </c>
      <c r="H71" s="1">
        <v>5529543.0</v>
      </c>
      <c r="I71" s="4">
        <f t="shared" si="1"/>
        <v>0.2483069707</v>
      </c>
      <c r="J71" s="5" t="str">
        <f t="shared" si="2"/>
        <v>Medium</v>
      </c>
    </row>
    <row r="72">
      <c r="A72" s="1" t="s">
        <v>73</v>
      </c>
      <c r="B72" s="1">
        <v>4.7412964E7</v>
      </c>
      <c r="C72" s="1">
        <v>5.2007169E7</v>
      </c>
      <c r="D72" s="1">
        <v>5.5274184E7</v>
      </c>
      <c r="E72" s="1">
        <v>5.8261012E7</v>
      </c>
      <c r="F72" s="1">
        <v>6.0918661E7</v>
      </c>
      <c r="G72" s="1">
        <v>6.5026211E7</v>
      </c>
      <c r="H72" s="1">
        <v>6.760111E7</v>
      </c>
      <c r="I72" s="4">
        <f t="shared" si="1"/>
        <v>0.4257937977</v>
      </c>
      <c r="J72" s="5" t="str">
        <f t="shared" si="2"/>
        <v>Large</v>
      </c>
    </row>
    <row r="73">
      <c r="A73" s="1" t="s">
        <v>74</v>
      </c>
      <c r="B73" s="1">
        <v>83671.0</v>
      </c>
      <c r="C73" s="1">
        <v>114010.0</v>
      </c>
      <c r="D73" s="1">
        <v>156471.0</v>
      </c>
      <c r="E73" s="1">
        <v>203776.0</v>
      </c>
      <c r="F73" s="1">
        <v>240337.0</v>
      </c>
      <c r="G73" s="1">
        <v>270580.0</v>
      </c>
      <c r="H73" s="1">
        <v>279209.0</v>
      </c>
      <c r="I73" s="4">
        <f t="shared" si="1"/>
        <v>2.336986531</v>
      </c>
      <c r="J73" s="5" t="str">
        <f t="shared" si="2"/>
        <v>Small</v>
      </c>
    </row>
    <row r="74">
      <c r="A74" s="1" t="s">
        <v>75</v>
      </c>
      <c r="B74" s="1">
        <v>512316.0</v>
      </c>
      <c r="C74" s="1">
        <v>595846.0</v>
      </c>
      <c r="D74" s="1">
        <v>748389.0</v>
      </c>
      <c r="E74" s="1">
        <v>983734.0</v>
      </c>
      <c r="F74" s="1">
        <v>1275572.0</v>
      </c>
      <c r="G74" s="1">
        <v>1719879.0</v>
      </c>
      <c r="H74" s="1">
        <v>2322539.0</v>
      </c>
      <c r="I74" s="4">
        <f t="shared" si="1"/>
        <v>3.53341102</v>
      </c>
      <c r="J74" s="5" t="str">
        <f t="shared" si="2"/>
        <v>Medium</v>
      </c>
    </row>
    <row r="75">
      <c r="A75" s="1" t="s">
        <v>76</v>
      </c>
      <c r="B75" s="1">
        <v>398060.0</v>
      </c>
      <c r="C75" s="1">
        <v>524105.0</v>
      </c>
      <c r="D75" s="1">
        <v>713913.0</v>
      </c>
      <c r="E75" s="1">
        <v>1054696.0</v>
      </c>
      <c r="F75" s="1">
        <v>1455084.0</v>
      </c>
      <c r="G75" s="1">
        <v>1926630.0</v>
      </c>
      <c r="H75" s="1">
        <v>2515733.0</v>
      </c>
      <c r="I75" s="4">
        <f t="shared" si="1"/>
        <v>5.319984424</v>
      </c>
      <c r="J75" s="5" t="str">
        <f t="shared" si="2"/>
        <v>Medium</v>
      </c>
    </row>
    <row r="76">
      <c r="A76" s="1" t="s">
        <v>77</v>
      </c>
      <c r="B76" s="1">
        <v>3645600.0</v>
      </c>
      <c r="C76" s="1">
        <v>4119900.0</v>
      </c>
      <c r="D76" s="1">
        <v>4467700.0</v>
      </c>
      <c r="E76" s="1">
        <v>4802000.0</v>
      </c>
      <c r="F76" s="1">
        <v>4077131.0</v>
      </c>
      <c r="G76" s="1">
        <v>3786695.0</v>
      </c>
      <c r="H76" s="1">
        <v>3722716.0</v>
      </c>
      <c r="I76" s="4">
        <f t="shared" si="1"/>
        <v>0.02115317095</v>
      </c>
      <c r="J76" s="5" t="str">
        <f t="shared" si="2"/>
        <v>Medium</v>
      </c>
    </row>
    <row r="77">
      <c r="A77" s="1" t="s">
        <v>78</v>
      </c>
      <c r="B77" s="1">
        <v>7.28149E7</v>
      </c>
      <c r="C77" s="1">
        <v>7.8169289E7</v>
      </c>
      <c r="D77" s="1">
        <v>7.8288576E7</v>
      </c>
      <c r="E77" s="1">
        <v>7.9433029E7</v>
      </c>
      <c r="F77" s="1">
        <v>8.2211508E7</v>
      </c>
      <c r="G77" s="1">
        <v>8.177693E7</v>
      </c>
      <c r="H77" s="1">
        <v>8.3160871E7</v>
      </c>
      <c r="I77" s="4">
        <f t="shared" si="1"/>
        <v>0.1420859055</v>
      </c>
      <c r="J77" s="5" t="str">
        <f t="shared" si="2"/>
        <v>Large</v>
      </c>
    </row>
    <row r="78">
      <c r="A78" s="1" t="s">
        <v>79</v>
      </c>
      <c r="B78" s="1">
        <v>6961215.0</v>
      </c>
      <c r="C78" s="1">
        <v>8925813.0</v>
      </c>
      <c r="D78" s="1">
        <v>1.1941448E7</v>
      </c>
      <c r="E78" s="1">
        <v>1.5394648E7</v>
      </c>
      <c r="F78" s="1">
        <v>1.9637087E7</v>
      </c>
      <c r="G78" s="1">
        <v>2.5474995E7</v>
      </c>
      <c r="H78" s="1">
        <v>3.1887809E7</v>
      </c>
      <c r="I78" s="4">
        <f t="shared" si="1"/>
        <v>3.58078209</v>
      </c>
      <c r="J78" s="5" t="str">
        <f t="shared" si="2"/>
        <v>Large</v>
      </c>
    </row>
    <row r="79">
      <c r="A79" s="1" t="s">
        <v>80</v>
      </c>
      <c r="B79" s="1">
        <v>21839.0</v>
      </c>
      <c r="C79" s="1">
        <v>26634.0</v>
      </c>
      <c r="D79" s="1">
        <v>28675.0</v>
      </c>
      <c r="E79" s="1">
        <v>27200.0</v>
      </c>
      <c r="F79" s="1">
        <v>27709.0</v>
      </c>
      <c r="G79" s="1">
        <v>31248.0</v>
      </c>
      <c r="H79" s="1">
        <v>36173.0</v>
      </c>
      <c r="I79" s="4">
        <f t="shared" si="1"/>
        <v>0.6563487339</v>
      </c>
      <c r="J79" s="5" t="str">
        <f t="shared" si="2"/>
        <v>Small</v>
      </c>
    </row>
    <row r="80">
      <c r="A80" s="1" t="s">
        <v>81</v>
      </c>
      <c r="B80" s="1">
        <v>8331725.0</v>
      </c>
      <c r="C80" s="1">
        <v>8792806.0</v>
      </c>
      <c r="D80" s="1">
        <v>9642505.0</v>
      </c>
      <c r="E80" s="1">
        <v>1.0196792E7</v>
      </c>
      <c r="F80" s="1">
        <v>1.0805808E7</v>
      </c>
      <c r="G80" s="1">
        <v>1.1121341E7</v>
      </c>
      <c r="H80" s="1">
        <v>1.0698599E7</v>
      </c>
      <c r="I80" s="4">
        <f t="shared" si="1"/>
        <v>0.2840797074</v>
      </c>
      <c r="J80" s="5" t="str">
        <f t="shared" si="2"/>
        <v>Large</v>
      </c>
    </row>
    <row r="81">
      <c r="A81" s="1" t="s">
        <v>82</v>
      </c>
      <c r="B81" s="1">
        <v>32500.0</v>
      </c>
      <c r="C81" s="1">
        <v>46400.0</v>
      </c>
      <c r="D81" s="1">
        <v>50200.0</v>
      </c>
      <c r="E81" s="1">
        <v>55600.0</v>
      </c>
      <c r="F81" s="1">
        <v>56185.0</v>
      </c>
      <c r="G81" s="1">
        <v>56534.0</v>
      </c>
      <c r="H81" s="1">
        <v>56367.0</v>
      </c>
      <c r="I81" s="4">
        <f t="shared" si="1"/>
        <v>0.7343692308</v>
      </c>
      <c r="J81" s="5" t="str">
        <f t="shared" si="2"/>
        <v>Small</v>
      </c>
    </row>
    <row r="82">
      <c r="A82" s="1" t="s">
        <v>83</v>
      </c>
      <c r="B82" s="1">
        <v>94058.0</v>
      </c>
      <c r="C82" s="1">
        <v>98414.0</v>
      </c>
      <c r="D82" s="1">
        <v>94538.0</v>
      </c>
      <c r="E82" s="1">
        <v>99957.0</v>
      </c>
      <c r="F82" s="1">
        <v>107451.0</v>
      </c>
      <c r="G82" s="1">
        <v>111586.0</v>
      </c>
      <c r="H82" s="1">
        <v>116341.0</v>
      </c>
      <c r="I82" s="4">
        <f t="shared" si="1"/>
        <v>0.2369070148</v>
      </c>
      <c r="J82" s="5" t="str">
        <f t="shared" si="2"/>
        <v>Small</v>
      </c>
    </row>
    <row r="83">
      <c r="A83" s="1" t="s">
        <v>84</v>
      </c>
      <c r="B83" s="1">
        <v>69525.0</v>
      </c>
      <c r="C83" s="1">
        <v>88365.0</v>
      </c>
      <c r="D83" s="1">
        <v>110141.0</v>
      </c>
      <c r="E83" s="1">
        <v>138610.0</v>
      </c>
      <c r="F83" s="1">
        <v>160065.0</v>
      </c>
      <c r="G83" s="1">
        <v>166522.0</v>
      </c>
      <c r="H83" s="1">
        <v>162158.0</v>
      </c>
      <c r="I83" s="4">
        <f t="shared" si="1"/>
        <v>1.332369651</v>
      </c>
      <c r="J83" s="5" t="str">
        <f t="shared" si="2"/>
        <v>Small</v>
      </c>
    </row>
    <row r="84">
      <c r="A84" s="1" t="s">
        <v>85</v>
      </c>
      <c r="B84" s="1">
        <v>4063655.0</v>
      </c>
      <c r="C84" s="1">
        <v>5396966.0</v>
      </c>
      <c r="D84" s="1">
        <v>6900212.0</v>
      </c>
      <c r="E84" s="1">
        <v>9024773.0</v>
      </c>
      <c r="F84" s="1">
        <v>1.1697592E7</v>
      </c>
      <c r="G84" s="1">
        <v>1.4500112E7</v>
      </c>
      <c r="H84" s="1">
        <v>1.7357325E7</v>
      </c>
      <c r="I84" s="4">
        <f t="shared" si="1"/>
        <v>3.271357928</v>
      </c>
      <c r="J84" s="5" t="str">
        <f t="shared" si="2"/>
        <v>Large</v>
      </c>
    </row>
    <row r="85">
      <c r="A85" s="1" t="s">
        <v>86</v>
      </c>
      <c r="B85" s="1">
        <v>3556749.0</v>
      </c>
      <c r="C85" s="1">
        <v>4277535.0</v>
      </c>
      <c r="D85" s="1">
        <v>5047419.0</v>
      </c>
      <c r="E85" s="1">
        <v>6434374.0</v>
      </c>
      <c r="F85" s="1">
        <v>8428832.0</v>
      </c>
      <c r="G85" s="1">
        <v>1.0396086E7</v>
      </c>
      <c r="H85" s="1">
        <v>1.3371183E7</v>
      </c>
      <c r="I85" s="4">
        <f t="shared" si="1"/>
        <v>2.759383358</v>
      </c>
      <c r="J85" s="5" t="str">
        <f t="shared" si="2"/>
        <v>Large</v>
      </c>
    </row>
    <row r="86">
      <c r="A86" s="1" t="s">
        <v>87</v>
      </c>
      <c r="B86" s="1">
        <v>577633.0</v>
      </c>
      <c r="C86" s="1">
        <v>584403.0</v>
      </c>
      <c r="D86" s="1">
        <v>829303.0</v>
      </c>
      <c r="E86" s="1">
        <v>973669.0</v>
      </c>
      <c r="F86" s="1">
        <v>1234741.0</v>
      </c>
      <c r="G86" s="1">
        <v>1566347.0</v>
      </c>
      <c r="H86" s="1">
        <v>2013255.0</v>
      </c>
      <c r="I86" s="4">
        <f t="shared" si="1"/>
        <v>2.485353157</v>
      </c>
      <c r="J86" s="5" t="str">
        <f t="shared" si="2"/>
        <v>Medium</v>
      </c>
    </row>
    <row r="87">
      <c r="A87" s="1" t="s">
        <v>88</v>
      </c>
      <c r="B87" s="1">
        <v>569143.0</v>
      </c>
      <c r="C87" s="1">
        <v>702705.0</v>
      </c>
      <c r="D87" s="1">
        <v>774367.0</v>
      </c>
      <c r="E87" s="1">
        <v>749894.0</v>
      </c>
      <c r="F87" s="1">
        <v>764832.0</v>
      </c>
      <c r="G87" s="1">
        <v>749256.0</v>
      </c>
      <c r="H87" s="1">
        <v>807481.0</v>
      </c>
      <c r="I87" s="4">
        <f t="shared" si="1"/>
        <v>0.4187664612</v>
      </c>
      <c r="J87" s="5" t="str">
        <f t="shared" si="2"/>
        <v>Small</v>
      </c>
    </row>
    <row r="88">
      <c r="A88" s="1" t="s">
        <v>89</v>
      </c>
      <c r="B88" s="1">
        <v>3858443.0</v>
      </c>
      <c r="C88" s="1">
        <v>4635124.0</v>
      </c>
      <c r="D88" s="1">
        <v>5614493.0</v>
      </c>
      <c r="E88" s="1">
        <v>6854441.0</v>
      </c>
      <c r="F88" s="1">
        <v>8303151.0</v>
      </c>
      <c r="G88" s="1">
        <v>9803294.0</v>
      </c>
      <c r="H88" s="1">
        <v>1.1243848E7</v>
      </c>
      <c r="I88" s="4">
        <f t="shared" si="1"/>
        <v>1.91408944</v>
      </c>
      <c r="J88" s="5" t="str">
        <f t="shared" si="2"/>
        <v>Large</v>
      </c>
    </row>
    <row r="89">
      <c r="A89" s="1" t="s">
        <v>90</v>
      </c>
      <c r="B89" s="1">
        <v>2062060.0</v>
      </c>
      <c r="C89" s="1">
        <v>2750715.0</v>
      </c>
      <c r="D89" s="1">
        <v>3727173.0</v>
      </c>
      <c r="E89" s="1">
        <v>4980488.0</v>
      </c>
      <c r="F89" s="1">
        <v>6577773.0</v>
      </c>
      <c r="G89" s="1">
        <v>8365878.0</v>
      </c>
      <c r="H89" s="1">
        <v>1.011964E7</v>
      </c>
      <c r="I89" s="4">
        <f t="shared" si="1"/>
        <v>3.907539063</v>
      </c>
      <c r="J89" s="5" t="str">
        <f t="shared" si="2"/>
        <v>Large</v>
      </c>
    </row>
    <row r="90">
      <c r="A90" s="1" t="s">
        <v>91</v>
      </c>
      <c r="B90" s="1">
        <v>3094840.0</v>
      </c>
      <c r="C90" s="1">
        <v>3959000.0</v>
      </c>
      <c r="D90" s="1">
        <v>5063100.0</v>
      </c>
      <c r="E90" s="1">
        <v>5704500.0</v>
      </c>
      <c r="F90" s="1">
        <v>6665000.0</v>
      </c>
      <c r="G90" s="1">
        <v>7024200.0</v>
      </c>
      <c r="H90" s="1">
        <v>7481000.0</v>
      </c>
      <c r="I90" s="4">
        <f t="shared" si="1"/>
        <v>1.417249357</v>
      </c>
      <c r="J90" s="5" t="str">
        <f t="shared" si="2"/>
        <v>Medium</v>
      </c>
    </row>
    <row r="91">
      <c r="A91" s="1" t="s">
        <v>92</v>
      </c>
      <c r="B91" s="1">
        <v>9983512.0</v>
      </c>
      <c r="C91" s="1">
        <v>1.033791E7</v>
      </c>
      <c r="D91" s="1">
        <v>1.0711122E7</v>
      </c>
      <c r="E91" s="1">
        <v>1.0373988E7</v>
      </c>
      <c r="F91" s="1">
        <v>1.0210971E7</v>
      </c>
      <c r="G91" s="1">
        <v>1.0000023E7</v>
      </c>
      <c r="H91" s="1">
        <v>9670419.0</v>
      </c>
      <c r="I91" s="4">
        <f t="shared" si="1"/>
        <v>-0.03136100803</v>
      </c>
      <c r="J91" s="5" t="str">
        <f t="shared" si="2"/>
        <v>Medium</v>
      </c>
    </row>
    <row r="92">
      <c r="A92" s="1" t="s">
        <v>93</v>
      </c>
      <c r="B92" s="1">
        <v>175574.0</v>
      </c>
      <c r="C92" s="1">
        <v>204438.0</v>
      </c>
      <c r="D92" s="1">
        <v>228138.0</v>
      </c>
      <c r="E92" s="1">
        <v>254826.0</v>
      </c>
      <c r="F92" s="1">
        <v>281205.0</v>
      </c>
      <c r="G92" s="1">
        <v>318041.0</v>
      </c>
      <c r="H92" s="1">
        <v>366463.0</v>
      </c>
      <c r="I92" s="4">
        <f t="shared" si="1"/>
        <v>1.087228177</v>
      </c>
      <c r="J92" s="5" t="str">
        <f t="shared" si="2"/>
        <v>Small</v>
      </c>
    </row>
    <row r="93">
      <c r="A93" s="1" t="s">
        <v>94</v>
      </c>
      <c r="B93" s="1">
        <v>4.35990338E8</v>
      </c>
      <c r="C93" s="1">
        <v>5.45864268E8</v>
      </c>
      <c r="D93" s="1">
        <v>6.87354025E8</v>
      </c>
      <c r="E93" s="1">
        <v>8.64972221E8</v>
      </c>
      <c r="F93" s="1">
        <v>1.057922733E9</v>
      </c>
      <c r="G93" s="1">
        <v>1.243481564E9</v>
      </c>
      <c r="H93" s="1">
        <v>1.402617695E9</v>
      </c>
      <c r="I93" s="4">
        <f t="shared" si="1"/>
        <v>2.217084354</v>
      </c>
      <c r="J93" s="5" t="str">
        <f t="shared" si="2"/>
        <v>Large</v>
      </c>
    </row>
    <row r="94">
      <c r="A94" s="1" t="s">
        <v>95</v>
      </c>
      <c r="B94" s="1">
        <v>8.829607E7</v>
      </c>
      <c r="C94" s="1">
        <v>1.15657495E8</v>
      </c>
      <c r="D94" s="1">
        <v>1.4895054E8</v>
      </c>
      <c r="E94" s="1">
        <v>1.83501098E8</v>
      </c>
      <c r="F94" s="1">
        <v>2.1607779E8</v>
      </c>
      <c r="G94" s="1">
        <v>2.46305322E8</v>
      </c>
      <c r="H94" s="1">
        <v>2.74814866E8</v>
      </c>
      <c r="I94" s="4">
        <f t="shared" si="1"/>
        <v>2.112424664</v>
      </c>
      <c r="J94" s="5" t="str">
        <f t="shared" si="2"/>
        <v>Large</v>
      </c>
    </row>
    <row r="95">
      <c r="A95" s="1" t="s">
        <v>96</v>
      </c>
      <c r="B95" s="1">
        <v>2.1470434E7</v>
      </c>
      <c r="C95" s="1">
        <v>2.91451E7</v>
      </c>
      <c r="D95" s="1">
        <v>3.9842324E7</v>
      </c>
      <c r="E95" s="1">
        <v>5.8380092E7</v>
      </c>
      <c r="F95" s="1">
        <v>6.6418659E7</v>
      </c>
      <c r="G95" s="1">
        <v>7.7420842E7</v>
      </c>
      <c r="H95" s="1">
        <v>8.7723443E7</v>
      </c>
      <c r="I95" s="4">
        <f t="shared" si="1"/>
        <v>3.08577875</v>
      </c>
      <c r="J95" s="5" t="str">
        <f t="shared" si="2"/>
        <v>Large</v>
      </c>
    </row>
    <row r="96">
      <c r="A96" s="1" t="s">
        <v>97</v>
      </c>
      <c r="B96" s="1">
        <v>7022052.0</v>
      </c>
      <c r="C96" s="1">
        <v>9735611.0</v>
      </c>
      <c r="D96" s="1">
        <v>1.3591992E7</v>
      </c>
      <c r="E96" s="1">
        <v>1.7581206E7</v>
      </c>
      <c r="F96" s="1">
        <v>2.4424056E7</v>
      </c>
      <c r="G96" s="1">
        <v>3.1045366E7</v>
      </c>
      <c r="H96" s="1">
        <v>4.2116605E7</v>
      </c>
      <c r="I96" s="4">
        <f t="shared" si="1"/>
        <v>4.997763189</v>
      </c>
      <c r="J96" s="5" t="str">
        <f t="shared" si="2"/>
        <v>Large</v>
      </c>
    </row>
    <row r="97">
      <c r="A97" s="1" t="s">
        <v>98</v>
      </c>
      <c r="B97" s="1">
        <v>2828600.0</v>
      </c>
      <c r="C97" s="1">
        <v>2957250.0</v>
      </c>
      <c r="D97" s="1">
        <v>3412800.0</v>
      </c>
      <c r="E97" s="1">
        <v>3513974.0</v>
      </c>
      <c r="F97" s="1">
        <v>3805174.0</v>
      </c>
      <c r="G97" s="1">
        <v>4560155.0</v>
      </c>
      <c r="H97" s="1">
        <v>5039747.0</v>
      </c>
      <c r="I97" s="4">
        <f t="shared" si="1"/>
        <v>0.7817107403</v>
      </c>
      <c r="J97" s="5" t="str">
        <f t="shared" si="2"/>
        <v>Medium</v>
      </c>
    </row>
    <row r="98">
      <c r="A98" s="1" t="s">
        <v>99</v>
      </c>
      <c r="B98" s="1">
        <v>48868.0</v>
      </c>
      <c r="C98" s="1">
        <v>55300.0</v>
      </c>
      <c r="D98" s="1">
        <v>64076.0</v>
      </c>
      <c r="E98" s="1">
        <v>68916.0</v>
      </c>
      <c r="F98" s="1">
        <v>75659.0</v>
      </c>
      <c r="G98" s="1">
        <v>83873.0</v>
      </c>
      <c r="H98" s="1">
        <v>84064.0</v>
      </c>
      <c r="I98" s="4">
        <f t="shared" si="1"/>
        <v>0.7202259147</v>
      </c>
      <c r="J98" s="5" t="str">
        <f t="shared" si="2"/>
        <v>Small</v>
      </c>
    </row>
    <row r="99">
      <c r="A99" s="1" t="s">
        <v>100</v>
      </c>
      <c r="B99" s="1">
        <v>2114020.0</v>
      </c>
      <c r="C99" s="1">
        <v>2974000.0</v>
      </c>
      <c r="D99" s="1">
        <v>3878000.0</v>
      </c>
      <c r="E99" s="1">
        <v>4660000.0</v>
      </c>
      <c r="F99" s="1">
        <v>6289000.0</v>
      </c>
      <c r="G99" s="1">
        <v>7623600.0</v>
      </c>
      <c r="H99" s="1">
        <v>9215100.0</v>
      </c>
      <c r="I99" s="4">
        <f t="shared" si="1"/>
        <v>3.359041069</v>
      </c>
      <c r="J99" s="5" t="str">
        <f t="shared" si="2"/>
        <v>Medium</v>
      </c>
    </row>
    <row r="100">
      <c r="A100" s="1" t="s">
        <v>101</v>
      </c>
      <c r="B100" s="1">
        <v>5.01997E7</v>
      </c>
      <c r="C100" s="1">
        <v>5.382185E7</v>
      </c>
      <c r="D100" s="1">
        <v>5.6433883E7</v>
      </c>
      <c r="E100" s="1">
        <v>5.671924E7</v>
      </c>
      <c r="F100" s="1">
        <v>5.6942108E7</v>
      </c>
      <c r="G100" s="1">
        <v>5.9819407E7</v>
      </c>
      <c r="H100" s="1">
        <v>5.9438851E7</v>
      </c>
      <c r="I100" s="4">
        <f t="shared" si="1"/>
        <v>0.1840479326</v>
      </c>
      <c r="J100" s="5" t="str">
        <f t="shared" si="2"/>
        <v>Large</v>
      </c>
    </row>
    <row r="101">
      <c r="A101" s="1" t="s">
        <v>102</v>
      </c>
      <c r="B101" s="1">
        <v>1650005.0</v>
      </c>
      <c r="C101" s="1">
        <v>1878196.0</v>
      </c>
      <c r="D101" s="1">
        <v>2145658.0</v>
      </c>
      <c r="E101" s="1">
        <v>2379877.0</v>
      </c>
      <c r="F101" s="1">
        <v>2607826.0</v>
      </c>
      <c r="G101" s="1">
        <v>2748568.0</v>
      </c>
      <c r="H101" s="1">
        <v>2830739.0</v>
      </c>
      <c r="I101" s="4">
        <f t="shared" si="1"/>
        <v>0.7155941952</v>
      </c>
      <c r="J101" s="5" t="str">
        <f t="shared" si="2"/>
        <v>Medium</v>
      </c>
    </row>
    <row r="102">
      <c r="A102" s="1" t="s">
        <v>103</v>
      </c>
      <c r="B102" s="1">
        <v>9.3216E7</v>
      </c>
      <c r="C102" s="1">
        <v>1.03403E8</v>
      </c>
      <c r="D102" s="1">
        <v>1.16807E8</v>
      </c>
      <c r="E102" s="1">
        <v>1.23478E8</v>
      </c>
      <c r="F102" s="1">
        <v>1.26843E8</v>
      </c>
      <c r="G102" s="1">
        <v>1.2807E8</v>
      </c>
      <c r="H102" s="1">
        <v>1.26261E8</v>
      </c>
      <c r="I102" s="4">
        <f t="shared" si="1"/>
        <v>0.3544992276</v>
      </c>
      <c r="J102" s="5" t="str">
        <f t="shared" si="2"/>
        <v>Large</v>
      </c>
    </row>
    <row r="103">
      <c r="A103" s="1" t="s">
        <v>104</v>
      </c>
      <c r="B103" s="1">
        <v>853471.0</v>
      </c>
      <c r="C103" s="1">
        <v>1565163.0</v>
      </c>
      <c r="D103" s="1">
        <v>2234186.0</v>
      </c>
      <c r="E103" s="1">
        <v>3621908.0</v>
      </c>
      <c r="F103" s="1">
        <v>5386945.0</v>
      </c>
      <c r="G103" s="1">
        <v>7297043.0</v>
      </c>
      <c r="H103" s="1">
        <v>1.0865228E7</v>
      </c>
      <c r="I103" s="4">
        <f t="shared" si="1"/>
        <v>11.73063525</v>
      </c>
      <c r="J103" s="5" t="str">
        <f t="shared" si="2"/>
        <v>Large</v>
      </c>
    </row>
    <row r="104">
      <c r="A104" s="1" t="s">
        <v>105</v>
      </c>
      <c r="B104" s="1">
        <v>9429981.0</v>
      </c>
      <c r="C104" s="1">
        <v>1.2419057E7</v>
      </c>
      <c r="D104" s="1">
        <v>1.5152949E7</v>
      </c>
      <c r="E104" s="1">
        <v>1.7154054E7</v>
      </c>
      <c r="F104" s="1">
        <v>1.5501103E7</v>
      </c>
      <c r="G104" s="1">
        <v>1.683681E7</v>
      </c>
      <c r="H104" s="1">
        <v>1.9482117E7</v>
      </c>
      <c r="I104" s="4">
        <f t="shared" si="1"/>
        <v>1.065976273</v>
      </c>
      <c r="J104" s="5" t="str">
        <f t="shared" si="2"/>
        <v>Large</v>
      </c>
    </row>
    <row r="105">
      <c r="A105" s="1" t="s">
        <v>106</v>
      </c>
      <c r="B105" s="1">
        <v>7695307.0</v>
      </c>
      <c r="C105" s="1">
        <v>1.1368791E7</v>
      </c>
      <c r="D105" s="1">
        <v>1.6018459E7</v>
      </c>
      <c r="E105" s="1">
        <v>2.2892651E7</v>
      </c>
      <c r="F105" s="1">
        <v>3.064289E7</v>
      </c>
      <c r="G105" s="1">
        <v>4.1598567E7</v>
      </c>
      <c r="H105" s="1">
        <v>5.2217334E7</v>
      </c>
      <c r="I105" s="4">
        <f t="shared" si="1"/>
        <v>5.785607644</v>
      </c>
      <c r="J105" s="5" t="str">
        <f t="shared" si="2"/>
        <v>Large</v>
      </c>
    </row>
    <row r="106">
      <c r="A106" s="1" t="s">
        <v>107</v>
      </c>
      <c r="B106" s="1">
        <v>47157.0</v>
      </c>
      <c r="C106" s="1">
        <v>57510.0</v>
      </c>
      <c r="D106" s="1">
        <v>61148.0</v>
      </c>
      <c r="E106" s="1">
        <v>74855.0</v>
      </c>
      <c r="F106" s="1">
        <v>88613.0</v>
      </c>
      <c r="G106" s="1">
        <v>108704.0</v>
      </c>
      <c r="H106" s="1">
        <v>126099.0</v>
      </c>
      <c r="I106" s="4">
        <f t="shared" si="1"/>
        <v>1.674025065</v>
      </c>
      <c r="J106" s="5" t="str">
        <f t="shared" si="2"/>
        <v>Small</v>
      </c>
    </row>
    <row r="107">
      <c r="A107" s="1" t="s">
        <v>108</v>
      </c>
      <c r="B107" s="1">
        <v>1.1722953E7</v>
      </c>
      <c r="C107" s="1">
        <v>1.5172775E7</v>
      </c>
      <c r="D107" s="1">
        <v>1.8236786E7</v>
      </c>
      <c r="E107" s="1">
        <v>2.1112137E7</v>
      </c>
      <c r="F107" s="1">
        <v>2.366591E7</v>
      </c>
      <c r="G107" s="1">
        <v>2.4987258E7</v>
      </c>
      <c r="H107" s="1">
        <v>2.6136312E7</v>
      </c>
      <c r="I107" s="4">
        <f t="shared" si="1"/>
        <v>1.229499001</v>
      </c>
      <c r="J107" s="5" t="str">
        <f t="shared" si="2"/>
        <v>Large</v>
      </c>
    </row>
    <row r="108">
      <c r="A108" s="1" t="s">
        <v>109</v>
      </c>
      <c r="B108" s="1">
        <v>2.5012374E7</v>
      </c>
      <c r="C108" s="1">
        <v>3.2240827E7</v>
      </c>
      <c r="D108" s="1">
        <v>3.8123775E7</v>
      </c>
      <c r="E108" s="1">
        <v>4.2869283E7</v>
      </c>
      <c r="F108" s="1">
        <v>4.7008111E7</v>
      </c>
      <c r="G108" s="1">
        <v>4.9554112E7</v>
      </c>
      <c r="H108" s="1">
        <v>5.1836239E7</v>
      </c>
      <c r="I108" s="4">
        <f t="shared" si="1"/>
        <v>1.072423793</v>
      </c>
      <c r="J108" s="5" t="str">
        <f t="shared" si="2"/>
        <v>Large</v>
      </c>
    </row>
    <row r="109">
      <c r="A109" s="1" t="s">
        <v>110</v>
      </c>
      <c r="B109" s="1">
        <v>984846.0</v>
      </c>
      <c r="C109" s="1">
        <v>1249555.0</v>
      </c>
      <c r="D109" s="1">
        <v>1604818.0</v>
      </c>
      <c r="E109" s="1">
        <v>1973790.0</v>
      </c>
      <c r="F109" s="1">
        <v>1802493.0</v>
      </c>
      <c r="G109" s="1">
        <v>1788743.0</v>
      </c>
      <c r="H109" s="1">
        <v>1790151.0</v>
      </c>
      <c r="I109" s="4">
        <f t="shared" si="1"/>
        <v>0.8176963708</v>
      </c>
      <c r="J109" s="5" t="str">
        <f t="shared" si="2"/>
        <v>Medium</v>
      </c>
    </row>
    <row r="110">
      <c r="A110" s="1" t="s">
        <v>111</v>
      </c>
      <c r="B110" s="1">
        <v>311060.0</v>
      </c>
      <c r="C110" s="1">
        <v>809114.0</v>
      </c>
      <c r="D110" s="1">
        <v>1504782.0</v>
      </c>
      <c r="E110" s="1">
        <v>1684819.0</v>
      </c>
      <c r="F110" s="1">
        <v>1954709.0</v>
      </c>
      <c r="G110" s="1">
        <v>2943372.0</v>
      </c>
      <c r="H110" s="1">
        <v>4400267.0</v>
      </c>
      <c r="I110" s="4">
        <f t="shared" si="1"/>
        <v>13.14603935</v>
      </c>
      <c r="J110" s="5" t="str">
        <f t="shared" si="2"/>
        <v>Medium</v>
      </c>
    </row>
    <row r="111">
      <c r="A111" s="1" t="s">
        <v>112</v>
      </c>
      <c r="B111" s="1">
        <v>2172300.0</v>
      </c>
      <c r="C111" s="1">
        <v>2959900.0</v>
      </c>
      <c r="D111" s="1">
        <v>3617400.0</v>
      </c>
      <c r="E111" s="1">
        <v>4391236.0</v>
      </c>
      <c r="F111" s="1">
        <v>4898362.0</v>
      </c>
      <c r="G111" s="1">
        <v>5467059.0</v>
      </c>
      <c r="H111" s="1">
        <v>6726596.0</v>
      </c>
      <c r="I111" s="4">
        <f t="shared" si="1"/>
        <v>2.096531787</v>
      </c>
      <c r="J111" s="5" t="str">
        <f t="shared" si="2"/>
        <v>Medium</v>
      </c>
    </row>
    <row r="112">
      <c r="A112" s="1" t="s">
        <v>113</v>
      </c>
      <c r="B112" s="1">
        <v>2120979.0</v>
      </c>
      <c r="C112" s="1">
        <v>2359164.0</v>
      </c>
      <c r="D112" s="1">
        <v>2511701.0</v>
      </c>
      <c r="E112" s="1">
        <v>2663151.0</v>
      </c>
      <c r="F112" s="1">
        <v>2367550.0</v>
      </c>
      <c r="G112" s="1">
        <v>2097555.0</v>
      </c>
      <c r="H112" s="1">
        <v>1900449.0</v>
      </c>
      <c r="I112" s="4">
        <f t="shared" si="1"/>
        <v>-0.1039755698</v>
      </c>
      <c r="J112" s="5" t="str">
        <f t="shared" si="2"/>
        <v>Medium</v>
      </c>
    </row>
    <row r="113">
      <c r="A113" s="1" t="s">
        <v>114</v>
      </c>
      <c r="B113" s="1">
        <v>1794406.0</v>
      </c>
      <c r="C113" s="1">
        <v>2386114.0</v>
      </c>
      <c r="D113" s="1">
        <v>2944763.0</v>
      </c>
      <c r="E113" s="1">
        <v>3595175.0</v>
      </c>
      <c r="F113" s="1">
        <v>4329340.0</v>
      </c>
      <c r="G113" s="1">
        <v>5041288.0</v>
      </c>
      <c r="H113" s="1">
        <v>5702398.0</v>
      </c>
      <c r="I113" s="4">
        <f t="shared" si="1"/>
        <v>2.177875018</v>
      </c>
      <c r="J113" s="5" t="str">
        <f t="shared" si="2"/>
        <v>Medium</v>
      </c>
    </row>
    <row r="114">
      <c r="A114" s="1" t="s">
        <v>115</v>
      </c>
      <c r="B114" s="1">
        <v>736500.0</v>
      </c>
      <c r="C114" s="1">
        <v>1019273.0</v>
      </c>
      <c r="D114" s="1">
        <v>1406521.0</v>
      </c>
      <c r="E114" s="1">
        <v>1809696.0</v>
      </c>
      <c r="F114" s="1">
        <v>2003913.0</v>
      </c>
      <c r="G114" s="1">
        <v>1996251.0</v>
      </c>
      <c r="H114" s="1">
        <v>2235727.0</v>
      </c>
      <c r="I114" s="4">
        <f t="shared" si="1"/>
        <v>2.035610319</v>
      </c>
      <c r="J114" s="5" t="str">
        <f t="shared" si="2"/>
        <v>Medium</v>
      </c>
    </row>
    <row r="115">
      <c r="A115" s="1" t="s">
        <v>116</v>
      </c>
      <c r="B115" s="1">
        <v>1139522.0</v>
      </c>
      <c r="C115" s="1">
        <v>1466676.0</v>
      </c>
      <c r="D115" s="1">
        <v>1929253.0</v>
      </c>
      <c r="E115" s="1">
        <v>2223667.0</v>
      </c>
      <c r="F115" s="1">
        <v>2928117.0</v>
      </c>
      <c r="G115" s="1">
        <v>4058890.0</v>
      </c>
      <c r="H115" s="1">
        <v>5149463.0</v>
      </c>
      <c r="I115" s="4">
        <f t="shared" si="1"/>
        <v>3.518967602</v>
      </c>
      <c r="J115" s="5" t="str">
        <f t="shared" si="2"/>
        <v>Medium</v>
      </c>
    </row>
    <row r="116">
      <c r="A116" s="1" t="s">
        <v>117</v>
      </c>
      <c r="B116" s="1">
        <v>1492890.0</v>
      </c>
      <c r="C116" s="1">
        <v>2082589.0</v>
      </c>
      <c r="D116" s="1">
        <v>3424378.0</v>
      </c>
      <c r="E116" s="1">
        <v>4445239.0</v>
      </c>
      <c r="F116" s="1">
        <v>5305021.0</v>
      </c>
      <c r="G116" s="1">
        <v>6497839.0</v>
      </c>
      <c r="H116" s="1">
        <v>7045399.0</v>
      </c>
      <c r="I116" s="4">
        <f t="shared" si="1"/>
        <v>3.719302159</v>
      </c>
      <c r="J116" s="5" t="str">
        <f t="shared" si="2"/>
        <v>Medium</v>
      </c>
    </row>
    <row r="117">
      <c r="A117" s="1" t="s">
        <v>118</v>
      </c>
      <c r="B117" s="1">
        <v>16451.0</v>
      </c>
      <c r="C117" s="1">
        <v>21140.0</v>
      </c>
      <c r="D117" s="1">
        <v>25512.0</v>
      </c>
      <c r="E117" s="1">
        <v>28742.0</v>
      </c>
      <c r="F117" s="1">
        <v>32645.0</v>
      </c>
      <c r="G117" s="1">
        <v>36022.0</v>
      </c>
      <c r="H117" s="1">
        <v>38901.0</v>
      </c>
      <c r="I117" s="4">
        <f t="shared" si="1"/>
        <v>1.364658683</v>
      </c>
      <c r="J117" s="5" t="str">
        <f t="shared" si="2"/>
        <v>Small</v>
      </c>
    </row>
    <row r="118">
      <c r="A118" s="1" t="s">
        <v>119</v>
      </c>
      <c r="B118" s="1">
        <v>2778550.0</v>
      </c>
      <c r="C118" s="1">
        <v>3139689.0</v>
      </c>
      <c r="D118" s="1">
        <v>3413202.0</v>
      </c>
      <c r="E118" s="1">
        <v>3697838.0</v>
      </c>
      <c r="F118" s="1">
        <v>3499536.0</v>
      </c>
      <c r="G118" s="1">
        <v>3097282.0</v>
      </c>
      <c r="H118" s="1">
        <v>2810369.0</v>
      </c>
      <c r="I118" s="4">
        <f t="shared" si="1"/>
        <v>0.01145165644</v>
      </c>
      <c r="J118" s="5" t="str">
        <f t="shared" si="2"/>
        <v>Medium</v>
      </c>
    </row>
    <row r="119">
      <c r="A119" s="1" t="s">
        <v>120</v>
      </c>
      <c r="B119" s="1">
        <v>313970.0</v>
      </c>
      <c r="C119" s="1">
        <v>339171.0</v>
      </c>
      <c r="D119" s="1">
        <v>364150.0</v>
      </c>
      <c r="E119" s="1">
        <v>381850.0</v>
      </c>
      <c r="F119" s="1">
        <v>436300.0</v>
      </c>
      <c r="G119" s="1">
        <v>506953.0</v>
      </c>
      <c r="H119" s="1">
        <v>630419.0</v>
      </c>
      <c r="I119" s="4">
        <f t="shared" si="1"/>
        <v>1.007895659</v>
      </c>
      <c r="J119" s="5" t="str">
        <f t="shared" si="2"/>
        <v>Small</v>
      </c>
    </row>
    <row r="120">
      <c r="A120" s="1" t="s">
        <v>121</v>
      </c>
      <c r="B120" s="1">
        <v>173315.0</v>
      </c>
      <c r="C120" s="1">
        <v>257396.0</v>
      </c>
      <c r="D120" s="1">
        <v>239650.0</v>
      </c>
      <c r="E120" s="1">
        <v>334950.0</v>
      </c>
      <c r="F120" s="1">
        <v>430600.0</v>
      </c>
      <c r="G120" s="1">
        <v>537000.0</v>
      </c>
      <c r="H120" s="1">
        <v>685400.0</v>
      </c>
      <c r="I120" s="4">
        <f t="shared" si="1"/>
        <v>2.954649049</v>
      </c>
      <c r="J120" s="5" t="str">
        <f t="shared" si="2"/>
        <v>Small</v>
      </c>
    </row>
    <row r="121">
      <c r="A121" s="1" t="s">
        <v>122</v>
      </c>
      <c r="B121" s="1">
        <v>5111029.0</v>
      </c>
      <c r="C121" s="1">
        <v>6672003.0</v>
      </c>
      <c r="D121" s="1">
        <v>9006032.0</v>
      </c>
      <c r="E121" s="1">
        <v>1.2055639E7</v>
      </c>
      <c r="F121" s="1">
        <v>1.6516338E7</v>
      </c>
      <c r="G121" s="1">
        <v>2.218334E7</v>
      </c>
      <c r="H121" s="1">
        <v>2.8953556E7</v>
      </c>
      <c r="I121" s="4">
        <f t="shared" si="1"/>
        <v>4.664917182</v>
      </c>
      <c r="J121" s="5" t="str">
        <f t="shared" si="2"/>
        <v>Large</v>
      </c>
    </row>
    <row r="122">
      <c r="A122" s="1" t="s">
        <v>123</v>
      </c>
      <c r="B122" s="1">
        <v>3628134.0</v>
      </c>
      <c r="C122" s="1">
        <v>4633944.0</v>
      </c>
      <c r="D122" s="1">
        <v>6265529.0</v>
      </c>
      <c r="E122" s="1">
        <v>9545852.0</v>
      </c>
      <c r="F122" s="1">
        <v>1.1315942E7</v>
      </c>
      <c r="G122" s="1">
        <v>1.4826463E7</v>
      </c>
      <c r="H122" s="1">
        <v>1.9533888E7</v>
      </c>
      <c r="I122" s="4">
        <f t="shared" si="1"/>
        <v>4.384004009</v>
      </c>
      <c r="J122" s="5" t="str">
        <f t="shared" si="2"/>
        <v>Large</v>
      </c>
    </row>
    <row r="123">
      <c r="A123" s="1" t="s">
        <v>124</v>
      </c>
      <c r="B123" s="1">
        <v>7956197.0</v>
      </c>
      <c r="C123" s="1">
        <v>1.0178802E7</v>
      </c>
      <c r="D123" s="1">
        <v>1.2983363E7</v>
      </c>
      <c r="E123" s="1">
        <v>1.7833171E7</v>
      </c>
      <c r="F123" s="1">
        <v>2.2967816E7</v>
      </c>
      <c r="G123" s="1">
        <v>2.8655776E7</v>
      </c>
      <c r="H123" s="1">
        <v>3.3889558E7</v>
      </c>
      <c r="I123" s="4">
        <f t="shared" si="1"/>
        <v>3.259517204</v>
      </c>
      <c r="J123" s="5" t="str">
        <f t="shared" si="2"/>
        <v>Large</v>
      </c>
    </row>
    <row r="124">
      <c r="A124" s="1" t="s">
        <v>125</v>
      </c>
      <c r="B124" s="1">
        <v>91189.0</v>
      </c>
      <c r="C124" s="1">
        <v>123219.0</v>
      </c>
      <c r="D124" s="1">
        <v>164835.0</v>
      </c>
      <c r="E124" s="1">
        <v>224762.0</v>
      </c>
      <c r="F124" s="1">
        <v>282019.0</v>
      </c>
      <c r="G124" s="1">
        <v>360792.0</v>
      </c>
      <c r="H124" s="1">
        <v>502118.0</v>
      </c>
      <c r="I124" s="4">
        <f t="shared" si="1"/>
        <v>4.506343967</v>
      </c>
      <c r="J124" s="5" t="str">
        <f t="shared" si="2"/>
        <v>Small</v>
      </c>
    </row>
    <row r="125">
      <c r="A125" s="1" t="s">
        <v>126</v>
      </c>
      <c r="B125" s="1">
        <v>5402550.0</v>
      </c>
      <c r="C125" s="1">
        <v>6276472.0</v>
      </c>
      <c r="D125" s="1">
        <v>7530515.0</v>
      </c>
      <c r="E125" s="1">
        <v>9178830.0</v>
      </c>
      <c r="F125" s="1">
        <v>1.155929E7</v>
      </c>
      <c r="G125" s="1">
        <v>1.5945198E7</v>
      </c>
      <c r="H125" s="1">
        <v>2.1713836E7</v>
      </c>
      <c r="I125" s="4">
        <f t="shared" si="1"/>
        <v>3.019182793</v>
      </c>
      <c r="J125" s="5" t="str">
        <f t="shared" si="2"/>
        <v>Large</v>
      </c>
    </row>
    <row r="126">
      <c r="A126" s="1" t="s">
        <v>127</v>
      </c>
      <c r="B126" s="1">
        <v>326550.0</v>
      </c>
      <c r="C126" s="1">
        <v>302650.0</v>
      </c>
      <c r="D126" s="1">
        <v>316645.0</v>
      </c>
      <c r="E126" s="1">
        <v>354170.0</v>
      </c>
      <c r="F126" s="1">
        <v>390087.0</v>
      </c>
      <c r="G126" s="1">
        <v>414508.0</v>
      </c>
      <c r="H126" s="1">
        <v>515490.0</v>
      </c>
      <c r="I126" s="4">
        <f t="shared" si="1"/>
        <v>0.578594396</v>
      </c>
      <c r="J126" s="5" t="str">
        <f t="shared" si="2"/>
        <v>Small</v>
      </c>
    </row>
    <row r="127">
      <c r="A127" s="1" t="s">
        <v>128</v>
      </c>
      <c r="B127" s="1">
        <v>14703.0</v>
      </c>
      <c r="C127" s="1">
        <v>22530.0</v>
      </c>
      <c r="D127" s="1">
        <v>30774.0</v>
      </c>
      <c r="E127" s="1">
        <v>44629.0</v>
      </c>
      <c r="F127" s="1">
        <v>50706.0</v>
      </c>
      <c r="G127" s="1">
        <v>52044.0</v>
      </c>
      <c r="H127" s="1">
        <v>42706.0</v>
      </c>
      <c r="I127" s="4">
        <f t="shared" si="1"/>
        <v>1.904577297</v>
      </c>
      <c r="J127" s="5" t="str">
        <f t="shared" si="2"/>
        <v>Small</v>
      </c>
    </row>
    <row r="128">
      <c r="A128" s="1" t="s">
        <v>129</v>
      </c>
      <c r="B128" s="1">
        <v>824298.0</v>
      </c>
      <c r="C128" s="1">
        <v>1099806.0</v>
      </c>
      <c r="D128" s="1">
        <v>1474043.0</v>
      </c>
      <c r="E128" s="1">
        <v>1951878.0</v>
      </c>
      <c r="F128" s="1">
        <v>2613441.0</v>
      </c>
      <c r="G128" s="1">
        <v>3390965.0</v>
      </c>
      <c r="H128" s="1">
        <v>4600131.0</v>
      </c>
      <c r="I128" s="4">
        <f t="shared" si="1"/>
        <v>4.580665002</v>
      </c>
      <c r="J128" s="5" t="str">
        <f t="shared" si="2"/>
        <v>Medium</v>
      </c>
    </row>
    <row r="129">
      <c r="A129" s="1" t="s">
        <v>130</v>
      </c>
      <c r="B129" s="1">
        <v>680331.0</v>
      </c>
      <c r="C129" s="1">
        <v>826000.0</v>
      </c>
      <c r="D129" s="1">
        <v>966039.0</v>
      </c>
      <c r="E129" s="1">
        <v>1058775.0</v>
      </c>
      <c r="F129" s="1">
        <v>1186873.0</v>
      </c>
      <c r="G129" s="1">
        <v>1250400.0</v>
      </c>
      <c r="H129" s="1">
        <v>1266014.0</v>
      </c>
      <c r="I129" s="4">
        <f t="shared" si="1"/>
        <v>0.8608794837</v>
      </c>
      <c r="J129" s="5" t="str">
        <f t="shared" si="2"/>
        <v>Medium</v>
      </c>
    </row>
    <row r="130">
      <c r="A130" s="1" t="s">
        <v>131</v>
      </c>
      <c r="B130" s="1">
        <v>3.6724615E7</v>
      </c>
      <c r="C130" s="1">
        <v>5.0814953E7</v>
      </c>
      <c r="D130" s="1">
        <v>6.7300334E7</v>
      </c>
      <c r="E130" s="1">
        <v>8.282017E7</v>
      </c>
      <c r="F130" s="1">
        <v>9.8625552E7</v>
      </c>
      <c r="G130" s="1">
        <v>1.13623895E8</v>
      </c>
      <c r="H130" s="1">
        <v>1.26799054E8</v>
      </c>
      <c r="I130" s="4">
        <f t="shared" si="1"/>
        <v>2.452699341</v>
      </c>
      <c r="J130" s="5" t="str">
        <f t="shared" si="2"/>
        <v>Large</v>
      </c>
    </row>
    <row r="131">
      <c r="A131" s="1" t="s">
        <v>132</v>
      </c>
      <c r="B131" s="1">
        <v>43061.0</v>
      </c>
      <c r="C131" s="1">
        <v>58922.0</v>
      </c>
      <c r="D131" s="1">
        <v>77407.0</v>
      </c>
      <c r="E131" s="1">
        <v>100888.0</v>
      </c>
      <c r="F131" s="1">
        <v>112044.0</v>
      </c>
      <c r="G131" s="1">
        <v>107540.0</v>
      </c>
      <c r="H131" s="1">
        <v>110916.0</v>
      </c>
      <c r="I131" s="4">
        <f t="shared" si="1"/>
        <v>1.575787836</v>
      </c>
      <c r="J131" s="5" t="str">
        <f t="shared" si="2"/>
        <v>Small</v>
      </c>
    </row>
    <row r="132">
      <c r="A132" s="1" t="s">
        <v>133</v>
      </c>
      <c r="B132" s="1">
        <v>2058020.0</v>
      </c>
      <c r="C132" s="1">
        <v>2437590.0</v>
      </c>
      <c r="D132" s="1">
        <v>2708675.0</v>
      </c>
      <c r="E132" s="1">
        <v>2977912.0</v>
      </c>
      <c r="F132" s="1">
        <v>2924668.0</v>
      </c>
      <c r="G132" s="1">
        <v>2862354.0</v>
      </c>
      <c r="H132" s="1">
        <v>2635130.0</v>
      </c>
      <c r="I132" s="4">
        <f t="shared" si="1"/>
        <v>0.2804200154</v>
      </c>
      <c r="J132" s="5" t="str">
        <f t="shared" si="2"/>
        <v>Medium</v>
      </c>
    </row>
    <row r="133">
      <c r="A133" s="1" t="s">
        <v>134</v>
      </c>
      <c r="B133" s="1">
        <v>21808.0</v>
      </c>
      <c r="C133" s="1">
        <v>24229.0</v>
      </c>
      <c r="D133" s="1">
        <v>27122.0</v>
      </c>
      <c r="E133" s="1">
        <v>30358.0</v>
      </c>
      <c r="F133" s="1">
        <v>32455.0</v>
      </c>
      <c r="G133" s="1">
        <v>33163.0</v>
      </c>
      <c r="H133" s="1">
        <v>38050.0</v>
      </c>
      <c r="I133" s="4">
        <f t="shared" si="1"/>
        <v>0.7447725605</v>
      </c>
      <c r="J133" s="5" t="str">
        <f t="shared" si="2"/>
        <v>Small</v>
      </c>
    </row>
    <row r="134">
      <c r="A134" s="1" t="s">
        <v>135</v>
      </c>
      <c r="B134" s="1">
        <v>977595.0</v>
      </c>
      <c r="C134" s="1">
        <v>1295272.0</v>
      </c>
      <c r="D134" s="1">
        <v>1701335.0</v>
      </c>
      <c r="E134" s="1">
        <v>2098710.0</v>
      </c>
      <c r="F134" s="1">
        <v>2388299.0</v>
      </c>
      <c r="G134" s="1">
        <v>2738622.0</v>
      </c>
      <c r="H134" s="1">
        <v>3327204.0</v>
      </c>
      <c r="I134" s="4">
        <f t="shared" si="1"/>
        <v>2.403458487</v>
      </c>
      <c r="J134" s="5" t="str">
        <f t="shared" si="2"/>
        <v>Medium</v>
      </c>
    </row>
    <row r="135">
      <c r="A135" s="1" t="s">
        <v>136</v>
      </c>
      <c r="B135" s="1">
        <v>480579.0</v>
      </c>
      <c r="C135" s="1">
        <v>512407.0</v>
      </c>
      <c r="D135" s="1">
        <v>572608.0</v>
      </c>
      <c r="E135" s="1">
        <v>606372.0</v>
      </c>
      <c r="F135" s="1">
        <v>604950.0</v>
      </c>
      <c r="G135" s="1">
        <v>619428.0</v>
      </c>
      <c r="H135" s="1">
        <v>626590.0</v>
      </c>
      <c r="I135" s="4">
        <f t="shared" si="1"/>
        <v>0.3038230967</v>
      </c>
      <c r="J135" s="5" t="str">
        <f t="shared" si="2"/>
        <v>Small</v>
      </c>
    </row>
    <row r="136">
      <c r="A136" s="1" t="s">
        <v>137</v>
      </c>
      <c r="B136" s="1">
        <v>1.1624933E7</v>
      </c>
      <c r="C136" s="1">
        <v>1.5129449E7</v>
      </c>
      <c r="D136" s="1">
        <v>1.9459943E7</v>
      </c>
      <c r="E136" s="1">
        <v>2.4375551E7</v>
      </c>
      <c r="F136" s="1">
        <v>2.8423435E7</v>
      </c>
      <c r="G136" s="1">
        <v>3.2467016E7</v>
      </c>
      <c r="H136" s="1">
        <v>3.6584208E7</v>
      </c>
      <c r="I136" s="4">
        <f t="shared" si="1"/>
        <v>2.147046783</v>
      </c>
      <c r="J136" s="5" t="str">
        <f t="shared" si="2"/>
        <v>Large</v>
      </c>
    </row>
    <row r="137">
      <c r="A137" s="1" t="s">
        <v>138</v>
      </c>
      <c r="B137" s="1">
        <v>6713695.0</v>
      </c>
      <c r="C137" s="1">
        <v>8250506.0</v>
      </c>
      <c r="D137" s="1">
        <v>1.1336221E7</v>
      </c>
      <c r="E137" s="1">
        <v>1.3094537E7</v>
      </c>
      <c r="F137" s="1">
        <v>1.8129653E7</v>
      </c>
      <c r="G137" s="1">
        <v>2.2999235E7</v>
      </c>
      <c r="H137" s="1">
        <v>3.0783688E7</v>
      </c>
      <c r="I137" s="4">
        <f t="shared" si="1"/>
        <v>3.585207996</v>
      </c>
      <c r="J137" s="5" t="str">
        <f t="shared" si="2"/>
        <v>Large</v>
      </c>
    </row>
    <row r="138">
      <c r="A138" s="1" t="s">
        <v>139</v>
      </c>
      <c r="B138" s="1">
        <v>2.173025E7</v>
      </c>
      <c r="C138" s="1">
        <v>2.7193016E7</v>
      </c>
      <c r="D138" s="1">
        <v>3.3227204E7</v>
      </c>
      <c r="E138" s="1">
        <v>3.9817251E7</v>
      </c>
      <c r="F138" s="1">
        <v>4.5290841E7</v>
      </c>
      <c r="G138" s="1">
        <v>4.9024382E7</v>
      </c>
      <c r="H138" s="1">
        <v>5.3016522E7</v>
      </c>
      <c r="I138" s="4">
        <f t="shared" si="1"/>
        <v>1.439756653</v>
      </c>
      <c r="J138" s="5" t="str">
        <f t="shared" si="2"/>
        <v>Large</v>
      </c>
    </row>
    <row r="139">
      <c r="A139" s="1" t="s">
        <v>140</v>
      </c>
      <c r="B139" s="1">
        <v>591465.0</v>
      </c>
      <c r="C139" s="1">
        <v>757868.0</v>
      </c>
      <c r="D139" s="1">
        <v>981434.0</v>
      </c>
      <c r="E139" s="1">
        <v>1369303.0</v>
      </c>
      <c r="F139" s="1">
        <v>1818647.0</v>
      </c>
      <c r="G139" s="1">
        <v>2109811.0</v>
      </c>
      <c r="H139" s="1">
        <v>2728762.0</v>
      </c>
      <c r="I139" s="4">
        <f t="shared" si="1"/>
        <v>3.613564623</v>
      </c>
      <c r="J139" s="5" t="str">
        <f t="shared" si="2"/>
        <v>Medium</v>
      </c>
    </row>
    <row r="140">
      <c r="A140" s="1" t="s">
        <v>141</v>
      </c>
      <c r="B140" s="1">
        <v>4607.0</v>
      </c>
      <c r="C140" s="1">
        <v>6710.0</v>
      </c>
      <c r="D140" s="1">
        <v>7649.0</v>
      </c>
      <c r="E140" s="1">
        <v>9622.0</v>
      </c>
      <c r="F140" s="1">
        <v>10168.0</v>
      </c>
      <c r="G140" s="1">
        <v>10043.0</v>
      </c>
      <c r="H140" s="1">
        <v>11643.0</v>
      </c>
      <c r="I140" s="4">
        <f t="shared" si="1"/>
        <v>1.527241155</v>
      </c>
      <c r="J140" s="5" t="str">
        <f t="shared" si="2"/>
        <v>Small</v>
      </c>
    </row>
    <row r="141">
      <c r="A141" s="1" t="s">
        <v>142</v>
      </c>
      <c r="B141" s="1">
        <v>1.0123658E7</v>
      </c>
      <c r="C141" s="1">
        <v>1.243619E7</v>
      </c>
      <c r="D141" s="1">
        <v>1.5553105E7</v>
      </c>
      <c r="E141" s="1">
        <v>1.9524573E7</v>
      </c>
      <c r="F141" s="1">
        <v>2.4546509E7</v>
      </c>
      <c r="G141" s="1">
        <v>2.7341952E7</v>
      </c>
      <c r="H141" s="1">
        <v>2.8966574E7</v>
      </c>
      <c r="I141" s="4">
        <f t="shared" si="1"/>
        <v>1.86127544</v>
      </c>
      <c r="J141" s="5" t="str">
        <f t="shared" si="2"/>
        <v>Large</v>
      </c>
    </row>
    <row r="142">
      <c r="A142" s="1" t="s">
        <v>143</v>
      </c>
      <c r="B142" s="1">
        <v>1.1486631E7</v>
      </c>
      <c r="C142" s="1">
        <v>1.3038526E7</v>
      </c>
      <c r="D142" s="1">
        <v>1.41498E7</v>
      </c>
      <c r="E142" s="1">
        <v>1.495151E7</v>
      </c>
      <c r="F142" s="1">
        <v>1.5925513E7</v>
      </c>
      <c r="G142" s="1">
        <v>1.6615394E7</v>
      </c>
      <c r="H142" s="1">
        <v>1.74415E7</v>
      </c>
      <c r="I142" s="4">
        <f t="shared" si="1"/>
        <v>0.5184173671</v>
      </c>
      <c r="J142" s="5" t="str">
        <f t="shared" si="2"/>
        <v>Large</v>
      </c>
    </row>
    <row r="143">
      <c r="A143" s="1" t="s">
        <v>144</v>
      </c>
      <c r="B143" s="1">
        <v>79819.0</v>
      </c>
      <c r="C143" s="1">
        <v>109338.0</v>
      </c>
      <c r="D143" s="1">
        <v>149817.0</v>
      </c>
      <c r="E143" s="1">
        <v>176456.0</v>
      </c>
      <c r="F143" s="1">
        <v>223098.0</v>
      </c>
      <c r="G143" s="1">
        <v>261582.0</v>
      </c>
      <c r="H143" s="1">
        <v>284176.0</v>
      </c>
      <c r="I143" s="4">
        <f t="shared" si="1"/>
        <v>2.560255077</v>
      </c>
      <c r="J143" s="5" t="str">
        <f t="shared" si="2"/>
        <v>Small</v>
      </c>
    </row>
    <row r="144">
      <c r="A144" s="1" t="s">
        <v>145</v>
      </c>
      <c r="B144" s="1">
        <v>2371800.0</v>
      </c>
      <c r="C144" s="1">
        <v>2810700.0</v>
      </c>
      <c r="D144" s="1">
        <v>3112900.0</v>
      </c>
      <c r="E144" s="1">
        <v>3329800.0</v>
      </c>
      <c r="F144" s="1">
        <v>3857700.0</v>
      </c>
      <c r="G144" s="1">
        <v>4350700.0</v>
      </c>
      <c r="H144" s="1">
        <v>5072400.0</v>
      </c>
      <c r="I144" s="4">
        <f t="shared" si="1"/>
        <v>1.138628889</v>
      </c>
      <c r="J144" s="5" t="str">
        <f t="shared" si="2"/>
        <v>Medium</v>
      </c>
    </row>
    <row r="145">
      <c r="A145" s="1" t="s">
        <v>146</v>
      </c>
      <c r="B145" s="1">
        <v>1782370.0</v>
      </c>
      <c r="C145" s="1">
        <v>2423065.0</v>
      </c>
      <c r="D145" s="1">
        <v>3252403.0</v>
      </c>
      <c r="E145" s="1">
        <v>4162559.0</v>
      </c>
      <c r="F145" s="1">
        <v>5022633.0</v>
      </c>
      <c r="G145" s="1">
        <v>5737450.0</v>
      </c>
      <c r="H145" s="1">
        <v>6565267.0</v>
      </c>
      <c r="I145" s="4">
        <f t="shared" si="1"/>
        <v>2.683447881</v>
      </c>
      <c r="J145" s="5" t="str">
        <f t="shared" si="2"/>
        <v>Medium</v>
      </c>
    </row>
    <row r="146">
      <c r="A146" s="1" t="s">
        <v>147</v>
      </c>
      <c r="B146" s="1">
        <v>3505050.0</v>
      </c>
      <c r="C146" s="1">
        <v>4650275.0</v>
      </c>
      <c r="D146" s="1">
        <v>6135971.0</v>
      </c>
      <c r="E146" s="1">
        <v>8286059.0</v>
      </c>
      <c r="F146" s="1">
        <v>1.150963E7</v>
      </c>
      <c r="G146" s="1">
        <v>1.6548835E7</v>
      </c>
      <c r="H146" s="1">
        <v>2.3717613E7</v>
      </c>
      <c r="I146" s="4">
        <f t="shared" si="1"/>
        <v>5.766697479</v>
      </c>
      <c r="J146" s="5" t="str">
        <f t="shared" si="2"/>
        <v>Large</v>
      </c>
    </row>
    <row r="147">
      <c r="A147" s="1" t="s">
        <v>148</v>
      </c>
      <c r="B147" s="1">
        <v>4.5053782E7</v>
      </c>
      <c r="C147" s="1">
        <v>5.5893838E7</v>
      </c>
      <c r="D147" s="1">
        <v>7.3764641E7</v>
      </c>
      <c r="E147" s="1">
        <v>9.7120925E7</v>
      </c>
      <c r="F147" s="1">
        <v>1.26382494E8</v>
      </c>
      <c r="G147" s="1">
        <v>1.66642886E8</v>
      </c>
      <c r="H147" s="1">
        <v>2.13996181E8</v>
      </c>
      <c r="I147" s="4">
        <f t="shared" si="1"/>
        <v>3.749793946</v>
      </c>
      <c r="J147" s="5" t="str">
        <f t="shared" si="2"/>
        <v>Large</v>
      </c>
    </row>
    <row r="148">
      <c r="A148" s="1" t="s">
        <v>149</v>
      </c>
      <c r="B148" s="1">
        <v>1435059.0</v>
      </c>
      <c r="C148" s="1">
        <v>1664208.0</v>
      </c>
      <c r="D148" s="1">
        <v>1933038.0</v>
      </c>
      <c r="E148" s="1">
        <v>2063689.0</v>
      </c>
      <c r="F148" s="1">
        <v>2026350.0</v>
      </c>
      <c r="G148" s="1">
        <v>1946298.0</v>
      </c>
      <c r="H148" s="1">
        <v>1856124.0</v>
      </c>
      <c r="I148" s="4">
        <f t="shared" si="1"/>
        <v>0.2934130234</v>
      </c>
      <c r="J148" s="5" t="str">
        <f t="shared" si="2"/>
        <v>Medium</v>
      </c>
    </row>
    <row r="149">
      <c r="A149" s="1" t="s">
        <v>150</v>
      </c>
      <c r="B149" s="1">
        <v>8736.0</v>
      </c>
      <c r="C149" s="1">
        <v>10170.0</v>
      </c>
      <c r="D149" s="1">
        <v>17625.0</v>
      </c>
      <c r="E149" s="1">
        <v>43342.0</v>
      </c>
      <c r="F149" s="1">
        <v>68356.0</v>
      </c>
      <c r="G149" s="1">
        <v>54091.0</v>
      </c>
      <c r="H149" s="1">
        <v>47528.0</v>
      </c>
      <c r="I149" s="4">
        <f t="shared" si="1"/>
        <v>4.44047619</v>
      </c>
      <c r="J149" s="5" t="str">
        <f t="shared" si="2"/>
        <v>Small</v>
      </c>
    </row>
    <row r="150">
      <c r="A150" s="1" t="s">
        <v>151</v>
      </c>
      <c r="B150" s="1">
        <v>3581239.0</v>
      </c>
      <c r="C150" s="1">
        <v>3875763.0</v>
      </c>
      <c r="D150" s="1">
        <v>4085620.0</v>
      </c>
      <c r="E150" s="1">
        <v>4241473.0</v>
      </c>
      <c r="F150" s="1">
        <v>4490967.0</v>
      </c>
      <c r="G150" s="1">
        <v>4889252.0</v>
      </c>
      <c r="H150" s="1">
        <v>5379475.0</v>
      </c>
      <c r="I150" s="4">
        <f t="shared" si="1"/>
        <v>0.5021267779</v>
      </c>
      <c r="J150" s="5" t="str">
        <f t="shared" si="2"/>
        <v>Medium</v>
      </c>
    </row>
    <row r="151">
      <c r="A151" s="1" t="s">
        <v>152</v>
      </c>
      <c r="B151" s="1">
        <v>530485.0</v>
      </c>
      <c r="C151" s="1">
        <v>662680.0</v>
      </c>
      <c r="D151" s="1">
        <v>1001248.0</v>
      </c>
      <c r="E151" s="1">
        <v>1763954.0</v>
      </c>
      <c r="F151" s="1">
        <v>2282131.0</v>
      </c>
      <c r="G151" s="1">
        <v>2757446.0</v>
      </c>
      <c r="H151" s="1">
        <v>4522497.0</v>
      </c>
      <c r="I151" s="4">
        <f t="shared" si="1"/>
        <v>7.525211834</v>
      </c>
      <c r="J151" s="5" t="str">
        <f t="shared" si="2"/>
        <v>Medium</v>
      </c>
    </row>
    <row r="152">
      <c r="A152" s="1" t="s">
        <v>153</v>
      </c>
      <c r="B152" s="1">
        <v>4.570931E7</v>
      </c>
      <c r="C152" s="1">
        <v>6.0166719E7</v>
      </c>
      <c r="D152" s="1">
        <v>8.229101E7</v>
      </c>
      <c r="E152" s="1">
        <v>1.16155576E8</v>
      </c>
      <c r="F152" s="1">
        <v>1.54879127E8</v>
      </c>
      <c r="G152" s="1">
        <v>1.99239047E8</v>
      </c>
      <c r="H152" s="1">
        <v>2.35001746E8</v>
      </c>
      <c r="I152" s="4">
        <f t="shared" si="1"/>
        <v>4.141222784</v>
      </c>
      <c r="J152" s="5" t="str">
        <f t="shared" si="2"/>
        <v>Large</v>
      </c>
    </row>
    <row r="153">
      <c r="A153" s="1" t="s">
        <v>154</v>
      </c>
      <c r="B153" s="1">
        <v>9328.0</v>
      </c>
      <c r="C153" s="1">
        <v>11368.0</v>
      </c>
      <c r="D153" s="1">
        <v>12271.0</v>
      </c>
      <c r="E153" s="1">
        <v>15259.0</v>
      </c>
      <c r="F153" s="1">
        <v>19178.0</v>
      </c>
      <c r="G153" s="1">
        <v>18396.0</v>
      </c>
      <c r="H153" s="1">
        <v>17792.0</v>
      </c>
      <c r="I153" s="4">
        <f t="shared" si="1"/>
        <v>0.9073756432</v>
      </c>
      <c r="J153" s="5" t="str">
        <f t="shared" si="2"/>
        <v>Small</v>
      </c>
    </row>
    <row r="154">
      <c r="A154" s="1" t="s">
        <v>155</v>
      </c>
      <c r="B154" s="1">
        <v>1126005.0</v>
      </c>
      <c r="C154" s="1">
        <v>1513070.0</v>
      </c>
      <c r="D154" s="1">
        <v>1957534.0</v>
      </c>
      <c r="E154" s="1">
        <v>2455583.0</v>
      </c>
      <c r="F154" s="1">
        <v>3010369.0</v>
      </c>
      <c r="G154" s="1">
        <v>3628535.0</v>
      </c>
      <c r="H154" s="1">
        <v>4293261.0</v>
      </c>
      <c r="I154" s="4">
        <f t="shared" si="1"/>
        <v>2.812825876</v>
      </c>
      <c r="J154" s="5" t="str">
        <f t="shared" si="2"/>
        <v>Medium</v>
      </c>
    </row>
    <row r="155">
      <c r="A155" s="1" t="s">
        <v>156</v>
      </c>
      <c r="B155" s="1">
        <v>1995110.0</v>
      </c>
      <c r="C155" s="1">
        <v>2505628.0</v>
      </c>
      <c r="D155" s="1">
        <v>3131512.0</v>
      </c>
      <c r="E155" s="1">
        <v>3896481.0</v>
      </c>
      <c r="F155" s="1">
        <v>5537064.0</v>
      </c>
      <c r="G155" s="1">
        <v>7633523.0</v>
      </c>
      <c r="H155" s="1">
        <v>9815746.0</v>
      </c>
      <c r="I155" s="4">
        <f t="shared" si="1"/>
        <v>3.919902161</v>
      </c>
      <c r="J155" s="5" t="str">
        <f t="shared" si="2"/>
        <v>Medium</v>
      </c>
    </row>
    <row r="156">
      <c r="A156" s="1" t="s">
        <v>157</v>
      </c>
      <c r="B156" s="1">
        <v>1883514.0</v>
      </c>
      <c r="C156" s="1">
        <v>2388028.0</v>
      </c>
      <c r="D156" s="1">
        <v>3053235.0</v>
      </c>
      <c r="E156" s="1">
        <v>4035747.0</v>
      </c>
      <c r="F156" s="1">
        <v>5100868.0</v>
      </c>
      <c r="G156" s="1">
        <v>5737971.0</v>
      </c>
      <c r="H156" s="1">
        <v>6603739.0</v>
      </c>
      <c r="I156" s="4">
        <f t="shared" si="1"/>
        <v>2.506073754</v>
      </c>
      <c r="J156" s="5" t="str">
        <f t="shared" si="2"/>
        <v>Medium</v>
      </c>
    </row>
    <row r="157">
      <c r="A157" s="1" t="s">
        <v>158</v>
      </c>
      <c r="B157" s="1">
        <v>1.0174127E7</v>
      </c>
      <c r="C157" s="1">
        <v>1.3501237E7</v>
      </c>
      <c r="D157" s="1">
        <v>1.7360949E7</v>
      </c>
      <c r="E157" s="1">
        <v>2.2014771E7</v>
      </c>
      <c r="F157" s="1">
        <v>2.6598331E7</v>
      </c>
      <c r="G157" s="1">
        <v>2.9086019E7</v>
      </c>
      <c r="H157" s="1">
        <v>3.2838579E7</v>
      </c>
      <c r="I157" s="4">
        <f t="shared" si="1"/>
        <v>2.2276557</v>
      </c>
      <c r="J157" s="5" t="str">
        <f t="shared" si="2"/>
        <v>Large</v>
      </c>
    </row>
    <row r="158">
      <c r="A158" s="1" t="s">
        <v>159</v>
      </c>
      <c r="B158" s="1">
        <v>2.7891897E7</v>
      </c>
      <c r="C158" s="1">
        <v>3.7622204E7</v>
      </c>
      <c r="D158" s="1">
        <v>4.804374E7</v>
      </c>
      <c r="E158" s="1">
        <v>6.2854666E7</v>
      </c>
      <c r="F158" s="1">
        <v>7.9625397E7</v>
      </c>
      <c r="G158" s="1">
        <v>9.6337125E7</v>
      </c>
      <c r="H158" s="1">
        <v>1.12081264E8</v>
      </c>
      <c r="I158" s="4">
        <f t="shared" si="1"/>
        <v>3.018416675</v>
      </c>
      <c r="J158" s="5" t="str">
        <f t="shared" si="2"/>
        <v>Large</v>
      </c>
    </row>
    <row r="159">
      <c r="A159" s="1" t="s">
        <v>160</v>
      </c>
      <c r="B159" s="1">
        <v>2.963745E7</v>
      </c>
      <c r="C159" s="1">
        <v>3.26643E7</v>
      </c>
      <c r="D159" s="1">
        <v>3.557415E7</v>
      </c>
      <c r="E159" s="1">
        <v>3.8110782E7</v>
      </c>
      <c r="F159" s="1">
        <v>3.8258629E7</v>
      </c>
      <c r="G159" s="1">
        <v>3.8042794E7</v>
      </c>
      <c r="H159" s="1">
        <v>3.7515748E7</v>
      </c>
      <c r="I159" s="4">
        <f t="shared" si="1"/>
        <v>0.265822397</v>
      </c>
      <c r="J159" s="5" t="str">
        <f t="shared" si="2"/>
        <v>Large</v>
      </c>
    </row>
    <row r="160">
      <c r="A160" s="1" t="s">
        <v>161</v>
      </c>
      <c r="B160" s="1">
        <v>8857716.0</v>
      </c>
      <c r="C160" s="1">
        <v>8680431.0</v>
      </c>
      <c r="D160" s="1">
        <v>9766312.0</v>
      </c>
      <c r="E160" s="1">
        <v>9983218.0</v>
      </c>
      <c r="F160" s="1">
        <v>1.0289898E7</v>
      </c>
      <c r="G160" s="1">
        <v>1.05731E7</v>
      </c>
      <c r="H160" s="1">
        <v>1.0297081E7</v>
      </c>
      <c r="I160" s="4">
        <f t="shared" si="1"/>
        <v>0.1624984364</v>
      </c>
      <c r="J160" s="5" t="str">
        <f t="shared" si="2"/>
        <v>Large</v>
      </c>
    </row>
    <row r="161">
      <c r="A161" s="1" t="s">
        <v>162</v>
      </c>
      <c r="B161" s="1">
        <v>2358000.0</v>
      </c>
      <c r="C161" s="1">
        <v>2718000.0</v>
      </c>
      <c r="D161" s="1">
        <v>3206000.0</v>
      </c>
      <c r="E161" s="1">
        <v>3537000.0</v>
      </c>
      <c r="F161" s="1">
        <v>3810605.0</v>
      </c>
      <c r="G161" s="1">
        <v>3724465.0</v>
      </c>
      <c r="H161" s="1">
        <v>3281590.0</v>
      </c>
      <c r="I161" s="4">
        <f t="shared" si="1"/>
        <v>0.3916836302</v>
      </c>
      <c r="J161" s="5" t="str">
        <f t="shared" si="2"/>
        <v>Medium</v>
      </c>
    </row>
    <row r="162">
      <c r="A162" s="1" t="s">
        <v>163</v>
      </c>
      <c r="B162" s="1">
        <v>36010.0</v>
      </c>
      <c r="C162" s="1">
        <v>116350.0</v>
      </c>
      <c r="D162" s="1">
        <v>275913.0</v>
      </c>
      <c r="E162" s="1">
        <v>440175.0</v>
      </c>
      <c r="F162" s="1">
        <v>644989.0</v>
      </c>
      <c r="G162" s="1">
        <v>1616832.0</v>
      </c>
      <c r="H162" s="1">
        <v>2794148.0</v>
      </c>
      <c r="I162" s="4">
        <f t="shared" si="1"/>
        <v>76.59366843</v>
      </c>
      <c r="J162" s="5" t="str">
        <f t="shared" si="2"/>
        <v>Medium</v>
      </c>
    </row>
    <row r="163">
      <c r="A163" s="1" t="s">
        <v>164</v>
      </c>
      <c r="B163" s="1">
        <v>1.8406905E7</v>
      </c>
      <c r="C163" s="1">
        <v>2.0250398E7</v>
      </c>
      <c r="D163" s="1">
        <v>2.2207282E7</v>
      </c>
      <c r="E163" s="1">
        <v>2.3201835E7</v>
      </c>
      <c r="F163" s="1">
        <v>2.2442971E7</v>
      </c>
      <c r="G163" s="1">
        <v>2.0246871E7</v>
      </c>
      <c r="H163" s="1">
        <v>1.926525E7</v>
      </c>
      <c r="I163" s="4">
        <f t="shared" si="1"/>
        <v>0.04663168523</v>
      </c>
      <c r="J163" s="5" t="str">
        <f t="shared" si="2"/>
        <v>Large</v>
      </c>
    </row>
    <row r="164">
      <c r="A164" s="1" t="s">
        <v>165</v>
      </c>
      <c r="B164" s="1">
        <v>1.19897E8</v>
      </c>
      <c r="C164" s="1">
        <v>1.30404E8</v>
      </c>
      <c r="D164" s="1">
        <v>1.3901E8</v>
      </c>
      <c r="E164" s="1">
        <v>1.47969406E8</v>
      </c>
      <c r="F164" s="1">
        <v>1.46596869E8</v>
      </c>
      <c r="G164" s="1">
        <v>1.42849468E8</v>
      </c>
      <c r="H164" s="1">
        <v>1.45245148E8</v>
      </c>
      <c r="I164" s="4">
        <f t="shared" si="1"/>
        <v>0.2114160321</v>
      </c>
      <c r="J164" s="5" t="str">
        <f t="shared" si="2"/>
        <v>Large</v>
      </c>
    </row>
    <row r="165">
      <c r="A165" s="1" t="s">
        <v>166</v>
      </c>
      <c r="B165" s="1">
        <v>3022294.0</v>
      </c>
      <c r="C165" s="1">
        <v>3980669.0</v>
      </c>
      <c r="D165" s="1">
        <v>5353259.0</v>
      </c>
      <c r="E165" s="1">
        <v>7375307.0</v>
      </c>
      <c r="F165" s="1">
        <v>8213931.0</v>
      </c>
      <c r="G165" s="1">
        <v>1.0317553E7</v>
      </c>
      <c r="H165" s="1">
        <v>1.3065837E7</v>
      </c>
      <c r="I165" s="4">
        <f t="shared" si="1"/>
        <v>3.323152215</v>
      </c>
      <c r="J165" s="5" t="str">
        <f t="shared" si="2"/>
        <v>Large</v>
      </c>
    </row>
    <row r="166">
      <c r="A166" s="1" t="s">
        <v>167</v>
      </c>
      <c r="B166" s="1">
        <v>112490.0</v>
      </c>
      <c r="C166" s="1">
        <v>140400.0</v>
      </c>
      <c r="D166" s="1">
        <v>164322.0</v>
      </c>
      <c r="E166" s="1">
        <v>169042.0</v>
      </c>
      <c r="F166" s="1">
        <v>181685.0</v>
      </c>
      <c r="G166" s="1">
        <v>193023.0</v>
      </c>
      <c r="H166" s="1">
        <v>211944.0</v>
      </c>
      <c r="I166" s="4">
        <f t="shared" si="1"/>
        <v>0.8841141435</v>
      </c>
      <c r="J166" s="5" t="str">
        <f t="shared" si="2"/>
        <v>Small</v>
      </c>
    </row>
    <row r="167">
      <c r="A167" s="1" t="s">
        <v>168</v>
      </c>
      <c r="B167" s="1">
        <v>15428.0</v>
      </c>
      <c r="C167" s="1">
        <v>18168.0</v>
      </c>
      <c r="D167" s="1">
        <v>21585.0</v>
      </c>
      <c r="E167" s="1">
        <v>23475.0</v>
      </c>
      <c r="F167" s="1">
        <v>26799.0</v>
      </c>
      <c r="G167" s="1">
        <v>33270.0</v>
      </c>
      <c r="H167" s="1">
        <v>34770.0</v>
      </c>
      <c r="I167" s="4">
        <f t="shared" si="1"/>
        <v>1.253694581</v>
      </c>
      <c r="J167" s="5" t="str">
        <f t="shared" si="2"/>
        <v>Small</v>
      </c>
    </row>
    <row r="168">
      <c r="A168" s="1" t="s">
        <v>169</v>
      </c>
      <c r="B168" s="1">
        <v>68012.0</v>
      </c>
      <c r="C168" s="1">
        <v>77626.0</v>
      </c>
      <c r="D168" s="1">
        <v>98544.0</v>
      </c>
      <c r="E168" s="1">
        <v>122980.0</v>
      </c>
      <c r="F168" s="1">
        <v>144018.0</v>
      </c>
      <c r="G168" s="1">
        <v>181802.0</v>
      </c>
      <c r="H168" s="1">
        <v>217435.0</v>
      </c>
      <c r="I168" s="4">
        <f t="shared" si="1"/>
        <v>2.197009351</v>
      </c>
      <c r="J168" s="5" t="str">
        <f t="shared" si="2"/>
        <v>Small</v>
      </c>
    </row>
    <row r="169">
      <c r="A169" s="1" t="s">
        <v>170</v>
      </c>
      <c r="B169" s="1">
        <v>3340907.0</v>
      </c>
      <c r="C169" s="1">
        <v>4466328.0</v>
      </c>
      <c r="D169" s="1">
        <v>5845638.0</v>
      </c>
      <c r="E169" s="1">
        <v>7720523.0</v>
      </c>
      <c r="F169" s="1">
        <v>9968260.0</v>
      </c>
      <c r="G169" s="1">
        <v>1.2635413E7</v>
      </c>
      <c r="H169" s="1">
        <v>1.6789219E7</v>
      </c>
      <c r="I169" s="4">
        <f t="shared" si="1"/>
        <v>4.025347608</v>
      </c>
      <c r="J169" s="5" t="str">
        <f t="shared" si="2"/>
        <v>Large</v>
      </c>
    </row>
    <row r="170">
      <c r="A170" s="1" t="s">
        <v>171</v>
      </c>
      <c r="B170" s="1">
        <v>6638992.0</v>
      </c>
      <c r="C170" s="1">
        <v>7164993.0</v>
      </c>
      <c r="D170" s="1">
        <v>7709544.0</v>
      </c>
      <c r="E170" s="1">
        <v>7897937.0</v>
      </c>
      <c r="F170" s="1">
        <v>7516346.0</v>
      </c>
      <c r="G170" s="1">
        <v>7291436.0</v>
      </c>
      <c r="H170" s="1">
        <v>6899126.0</v>
      </c>
      <c r="I170" s="4">
        <f t="shared" si="1"/>
        <v>0.03918275545</v>
      </c>
      <c r="J170" s="5" t="str">
        <f t="shared" si="2"/>
        <v>Medium</v>
      </c>
    </row>
    <row r="171">
      <c r="A171" s="1" t="s">
        <v>172</v>
      </c>
      <c r="B171" s="1">
        <v>41700.0</v>
      </c>
      <c r="C171" s="1">
        <v>53600.0</v>
      </c>
      <c r="D171" s="1">
        <v>63261.0</v>
      </c>
      <c r="E171" s="1">
        <v>69507.0</v>
      </c>
      <c r="F171" s="1">
        <v>81131.0</v>
      </c>
      <c r="G171" s="1">
        <v>89770.0</v>
      </c>
      <c r="H171" s="1">
        <v>98462.0</v>
      </c>
      <c r="I171" s="4">
        <f t="shared" si="1"/>
        <v>1.361199041</v>
      </c>
      <c r="J171" s="5" t="str">
        <f t="shared" si="2"/>
        <v>Small</v>
      </c>
    </row>
    <row r="172">
      <c r="A172" s="1" t="s">
        <v>173</v>
      </c>
      <c r="B172" s="1">
        <v>2268356.0</v>
      </c>
      <c r="C172" s="1">
        <v>2712286.0</v>
      </c>
      <c r="D172" s="1">
        <v>3272089.0</v>
      </c>
      <c r="E172" s="1">
        <v>4196828.0</v>
      </c>
      <c r="F172" s="1">
        <v>4423611.0</v>
      </c>
      <c r="G172" s="1">
        <v>6222714.0</v>
      </c>
      <c r="H172" s="1">
        <v>7912558.0</v>
      </c>
      <c r="I172" s="4">
        <f t="shared" si="1"/>
        <v>2.488234651</v>
      </c>
      <c r="J172" s="5" t="str">
        <f t="shared" si="2"/>
        <v>Medium</v>
      </c>
    </row>
    <row r="173">
      <c r="A173" s="1" t="s">
        <v>174</v>
      </c>
      <c r="B173" s="1">
        <v>1646400.0</v>
      </c>
      <c r="C173" s="1">
        <v>2074507.0</v>
      </c>
      <c r="D173" s="1">
        <v>2413945.0</v>
      </c>
      <c r="E173" s="1">
        <v>3047132.0</v>
      </c>
      <c r="F173" s="1">
        <v>4027887.0</v>
      </c>
      <c r="G173" s="1">
        <v>5076732.0</v>
      </c>
      <c r="H173" s="1">
        <v>5685807.0</v>
      </c>
      <c r="I173" s="4">
        <f t="shared" si="1"/>
        <v>2.453478499</v>
      </c>
      <c r="J173" s="5" t="str">
        <f t="shared" si="2"/>
        <v>Medium</v>
      </c>
    </row>
    <row r="174">
      <c r="A174" s="1" t="s">
        <v>175</v>
      </c>
      <c r="B174" s="1">
        <v>2715.0</v>
      </c>
      <c r="C174" s="1">
        <v>6414.0</v>
      </c>
      <c r="D174" s="1">
        <v>12410.0</v>
      </c>
      <c r="E174" s="1">
        <v>28061.0</v>
      </c>
      <c r="F174" s="1">
        <v>30773.0</v>
      </c>
      <c r="G174" s="1">
        <v>33794.0</v>
      </c>
      <c r="H174" s="1">
        <v>41008.0</v>
      </c>
      <c r="I174" s="4">
        <f t="shared" si="1"/>
        <v>14.10423573</v>
      </c>
      <c r="J174" s="5" t="str">
        <f t="shared" si="2"/>
        <v>Small</v>
      </c>
    </row>
    <row r="175">
      <c r="A175" s="1" t="s">
        <v>176</v>
      </c>
      <c r="B175" s="1">
        <v>4068095.0</v>
      </c>
      <c r="C175" s="1">
        <v>4538223.0</v>
      </c>
      <c r="D175" s="1">
        <v>4979815.0</v>
      </c>
      <c r="E175" s="1">
        <v>5299187.0</v>
      </c>
      <c r="F175" s="1">
        <v>5388720.0</v>
      </c>
      <c r="G175" s="1">
        <v>5391428.0</v>
      </c>
      <c r="H175" s="1">
        <v>5458827.0</v>
      </c>
      <c r="I175" s="4">
        <f t="shared" si="1"/>
        <v>0.3418632062</v>
      </c>
      <c r="J175" s="5" t="str">
        <f t="shared" si="2"/>
        <v>Medium</v>
      </c>
    </row>
    <row r="176">
      <c r="A176" s="1" t="s">
        <v>177</v>
      </c>
      <c r="B176" s="1">
        <v>1584720.0</v>
      </c>
      <c r="C176" s="1">
        <v>1724891.0</v>
      </c>
      <c r="D176" s="1">
        <v>1901315.0</v>
      </c>
      <c r="E176" s="1">
        <v>1998161.0</v>
      </c>
      <c r="F176" s="1">
        <v>1988925.0</v>
      </c>
      <c r="G176" s="1">
        <v>2048583.0</v>
      </c>
      <c r="H176" s="1">
        <v>2102419.0</v>
      </c>
      <c r="I176" s="4">
        <f t="shared" si="1"/>
        <v>0.3266816851</v>
      </c>
      <c r="J176" s="5" t="str">
        <f t="shared" si="2"/>
        <v>Medium</v>
      </c>
    </row>
    <row r="177">
      <c r="A177" s="1" t="s">
        <v>178</v>
      </c>
      <c r="B177" s="1">
        <v>139688.0</v>
      </c>
      <c r="C177" s="1">
        <v>176579.0</v>
      </c>
      <c r="D177" s="1">
        <v>238135.0</v>
      </c>
      <c r="E177" s="1">
        <v>331435.0</v>
      </c>
      <c r="F177" s="1">
        <v>440469.0</v>
      </c>
      <c r="G177" s="1">
        <v>532968.0</v>
      </c>
      <c r="H177" s="1">
        <v>744498.0</v>
      </c>
      <c r="I177" s="4">
        <f t="shared" si="1"/>
        <v>4.32972052</v>
      </c>
      <c r="J177" s="5" t="str">
        <f t="shared" si="2"/>
        <v>Small</v>
      </c>
    </row>
    <row r="178">
      <c r="A178" s="1" t="s">
        <v>179</v>
      </c>
      <c r="B178" s="1">
        <v>2876331.0</v>
      </c>
      <c r="C178" s="1">
        <v>3738448.0</v>
      </c>
      <c r="D178" s="1">
        <v>5936154.0</v>
      </c>
      <c r="E178" s="1">
        <v>7082811.0</v>
      </c>
      <c r="F178" s="1">
        <v>8838713.0</v>
      </c>
      <c r="G178" s="1">
        <v>1.2261756E7</v>
      </c>
      <c r="H178" s="1">
        <v>1.6651191E7</v>
      </c>
      <c r="I178" s="4">
        <f t="shared" si="1"/>
        <v>4.789038536</v>
      </c>
      <c r="J178" s="5" t="str">
        <f t="shared" si="2"/>
        <v>Large</v>
      </c>
    </row>
    <row r="179">
      <c r="A179" s="1" t="s">
        <v>180</v>
      </c>
      <c r="B179" s="1">
        <v>1.6440172E7</v>
      </c>
      <c r="C179" s="1">
        <v>2.2279984E7</v>
      </c>
      <c r="D179" s="1">
        <v>2.9518857E7</v>
      </c>
      <c r="E179" s="1">
        <v>4.0746268E7</v>
      </c>
      <c r="F179" s="1">
        <v>4.7159719E7</v>
      </c>
      <c r="G179" s="1">
        <v>5.2344051E7</v>
      </c>
      <c r="H179" s="1">
        <v>6.0562381E7</v>
      </c>
      <c r="I179" s="4">
        <f t="shared" si="1"/>
        <v>2.683804585</v>
      </c>
      <c r="J179" s="5" t="str">
        <f t="shared" si="2"/>
        <v>Large</v>
      </c>
    </row>
    <row r="180">
      <c r="A180" s="1" t="s">
        <v>181</v>
      </c>
      <c r="B180" s="1">
        <v>2931559.0</v>
      </c>
      <c r="C180" s="1">
        <v>3409614.0</v>
      </c>
      <c r="D180" s="1">
        <v>4339030.0</v>
      </c>
      <c r="E180" s="1">
        <v>4737633.0</v>
      </c>
      <c r="F180" s="1">
        <v>6032267.0</v>
      </c>
      <c r="G180" s="1">
        <v>9745953.0</v>
      </c>
      <c r="H180" s="1">
        <v>1.0698467E7</v>
      </c>
      <c r="I180" s="4">
        <f t="shared" si="1"/>
        <v>2.649412139</v>
      </c>
      <c r="J180" s="5" t="str">
        <f t="shared" si="2"/>
        <v>Large</v>
      </c>
    </row>
    <row r="181">
      <c r="A181" s="1" t="s">
        <v>182</v>
      </c>
      <c r="B181" s="1">
        <v>3.0455E7</v>
      </c>
      <c r="C181" s="1">
        <v>3.3814531E7</v>
      </c>
      <c r="D181" s="1">
        <v>3.7491165E7</v>
      </c>
      <c r="E181" s="1">
        <v>3.8867322E7</v>
      </c>
      <c r="F181" s="1">
        <v>4.0567864E7</v>
      </c>
      <c r="G181" s="1">
        <v>4.6576897E7</v>
      </c>
      <c r="H181" s="1">
        <v>4.7359424E7</v>
      </c>
      <c r="I181" s="4">
        <f t="shared" si="1"/>
        <v>0.5550623543</v>
      </c>
      <c r="J181" s="5" t="str">
        <f t="shared" si="2"/>
        <v>Large</v>
      </c>
    </row>
    <row r="182">
      <c r="A182" s="1" t="s">
        <v>183</v>
      </c>
      <c r="B182" s="1">
        <v>9661389.0</v>
      </c>
      <c r="C182" s="1">
        <v>1.228711E7</v>
      </c>
      <c r="D182" s="1">
        <v>1.4847974E7</v>
      </c>
      <c r="E182" s="1">
        <v>1.6352458E7</v>
      </c>
      <c r="F182" s="1">
        <v>1.9293054E7</v>
      </c>
      <c r="G182" s="1">
        <v>2.0879089E7</v>
      </c>
      <c r="H182" s="1">
        <v>2.1919E7</v>
      </c>
      <c r="I182" s="4">
        <f t="shared" si="1"/>
        <v>1.268721402</v>
      </c>
      <c r="J182" s="5" t="str">
        <f t="shared" si="2"/>
        <v>Large</v>
      </c>
    </row>
    <row r="183">
      <c r="A183" s="1" t="s">
        <v>184</v>
      </c>
      <c r="B183" s="1">
        <v>55810.0</v>
      </c>
      <c r="C183" s="1">
        <v>44606.0</v>
      </c>
      <c r="D183" s="1">
        <v>42850.0</v>
      </c>
      <c r="E183" s="1">
        <v>40432.0</v>
      </c>
      <c r="F183" s="1">
        <v>45248.0</v>
      </c>
      <c r="G183" s="1">
        <v>46846.0</v>
      </c>
      <c r="H183" s="1">
        <v>46870.0</v>
      </c>
      <c r="I183" s="4">
        <f t="shared" si="1"/>
        <v>-0.1601863465</v>
      </c>
      <c r="J183" s="5" t="str">
        <f t="shared" si="2"/>
        <v>Small</v>
      </c>
    </row>
    <row r="184">
      <c r="A184" s="1" t="s">
        <v>185</v>
      </c>
      <c r="B184" s="1">
        <v>92585.0</v>
      </c>
      <c r="C184" s="1">
        <v>103165.0</v>
      </c>
      <c r="D184" s="1">
        <v>119290.0</v>
      </c>
      <c r="E184" s="1">
        <v>137857.0</v>
      </c>
      <c r="F184" s="1">
        <v>158616.0</v>
      </c>
      <c r="G184" s="1">
        <v>170906.0</v>
      </c>
      <c r="H184" s="1">
        <v>178250.0</v>
      </c>
      <c r="I184" s="4">
        <f t="shared" si="1"/>
        <v>0.9252578711</v>
      </c>
      <c r="J184" s="5" t="str">
        <f t="shared" si="2"/>
        <v>Small</v>
      </c>
    </row>
    <row r="185">
      <c r="A185" s="1" t="s">
        <v>186</v>
      </c>
      <c r="B185" s="1">
        <v>4250.0</v>
      </c>
      <c r="C185" s="1">
        <v>6047.0</v>
      </c>
      <c r="D185" s="1">
        <v>8288.0</v>
      </c>
      <c r="E185" s="1">
        <v>28224.0</v>
      </c>
      <c r="F185" s="1">
        <v>29996.0</v>
      </c>
      <c r="G185" s="1">
        <v>36856.0</v>
      </c>
      <c r="H185" s="1">
        <v>31786.0</v>
      </c>
      <c r="I185" s="4">
        <f t="shared" si="1"/>
        <v>6.479058824</v>
      </c>
      <c r="J185" s="5" t="str">
        <f t="shared" si="2"/>
        <v>Small</v>
      </c>
    </row>
    <row r="186">
      <c r="A186" s="1" t="s">
        <v>187</v>
      </c>
      <c r="B186" s="1">
        <v>84388.0</v>
      </c>
      <c r="C186" s="1">
        <v>95964.0</v>
      </c>
      <c r="D186" s="1">
        <v>104213.0</v>
      </c>
      <c r="E186" s="1">
        <v>111812.0</v>
      </c>
      <c r="F186" s="1">
        <v>113545.0</v>
      </c>
      <c r="G186" s="1">
        <v>109959.0</v>
      </c>
      <c r="H186" s="1">
        <v>103526.0</v>
      </c>
      <c r="I186" s="4">
        <f t="shared" si="1"/>
        <v>0.2267857989</v>
      </c>
      <c r="J186" s="5" t="str">
        <f t="shared" si="2"/>
        <v>Small</v>
      </c>
    </row>
    <row r="187">
      <c r="A187" s="1" t="s">
        <v>188</v>
      </c>
      <c r="B187" s="1">
        <v>8364489.0</v>
      </c>
      <c r="C187" s="1">
        <v>1.1695771E7</v>
      </c>
      <c r="D187" s="1">
        <v>1.7058905E7</v>
      </c>
      <c r="E187" s="1">
        <v>2.2021481E7</v>
      </c>
      <c r="F187" s="1">
        <v>2.7816745E7</v>
      </c>
      <c r="G187" s="1">
        <v>3.5414399E7</v>
      </c>
      <c r="H187" s="1">
        <v>4.6789231E7</v>
      </c>
      <c r="I187" s="4">
        <f t="shared" si="1"/>
        <v>4.593794313</v>
      </c>
      <c r="J187" s="5" t="str">
        <f t="shared" si="2"/>
        <v>Large</v>
      </c>
    </row>
    <row r="188">
      <c r="A188" s="1" t="s">
        <v>189</v>
      </c>
      <c r="B188" s="1">
        <v>263918.0</v>
      </c>
      <c r="C188" s="1">
        <v>379442.0</v>
      </c>
      <c r="D188" s="1">
        <v>375377.0</v>
      </c>
      <c r="E188" s="1">
        <v>412493.0</v>
      </c>
      <c r="F188" s="1">
        <v>476643.0</v>
      </c>
      <c r="G188" s="1">
        <v>549923.0</v>
      </c>
      <c r="H188" s="1">
        <v>612317.0</v>
      </c>
      <c r="I188" s="4">
        <f t="shared" si="1"/>
        <v>1.320103214</v>
      </c>
      <c r="J188" s="5" t="str">
        <f t="shared" si="2"/>
        <v>Small</v>
      </c>
    </row>
    <row r="189">
      <c r="A189" s="1" t="s">
        <v>190</v>
      </c>
      <c r="B189" s="1">
        <v>7484656.0</v>
      </c>
      <c r="C189" s="1">
        <v>8042801.0</v>
      </c>
      <c r="D189" s="1">
        <v>8310531.0</v>
      </c>
      <c r="E189" s="1">
        <v>8558835.0</v>
      </c>
      <c r="F189" s="1">
        <v>8872109.0</v>
      </c>
      <c r="G189" s="1">
        <v>9378126.0</v>
      </c>
      <c r="H189" s="1">
        <v>1.0353442E7</v>
      </c>
      <c r="I189" s="4">
        <f t="shared" si="1"/>
        <v>0.3832889581</v>
      </c>
      <c r="J189" s="5" t="str">
        <f t="shared" si="2"/>
        <v>Large</v>
      </c>
    </row>
    <row r="190">
      <c r="A190" s="1" t="s">
        <v>191</v>
      </c>
      <c r="B190" s="1">
        <v>5327827.0</v>
      </c>
      <c r="C190" s="1">
        <v>6180877.0</v>
      </c>
      <c r="D190" s="1">
        <v>6319408.0</v>
      </c>
      <c r="E190" s="1">
        <v>6715519.0</v>
      </c>
      <c r="F190" s="1">
        <v>7184250.0</v>
      </c>
      <c r="G190" s="1">
        <v>7824909.0</v>
      </c>
      <c r="H190" s="1">
        <v>8638167.0</v>
      </c>
      <c r="I190" s="4">
        <f t="shared" si="1"/>
        <v>0.6213302346</v>
      </c>
      <c r="J190" s="5" t="str">
        <f t="shared" si="2"/>
        <v>Medium</v>
      </c>
    </row>
    <row r="191">
      <c r="A191" s="1" t="s">
        <v>192</v>
      </c>
      <c r="B191" s="1">
        <v>4673500.0</v>
      </c>
      <c r="C191" s="1">
        <v>6380609.0</v>
      </c>
      <c r="D191" s="1">
        <v>8957663.0</v>
      </c>
      <c r="E191" s="1">
        <v>1.2579208E7</v>
      </c>
      <c r="F191" s="1">
        <v>1.6637888E7</v>
      </c>
      <c r="G191" s="1">
        <v>2.2482421E7</v>
      </c>
      <c r="H191" s="1">
        <v>2.1049429E7</v>
      </c>
      <c r="I191" s="4">
        <f t="shared" si="1"/>
        <v>3.50399679</v>
      </c>
      <c r="J191" s="5" t="str">
        <f t="shared" si="2"/>
        <v>Large</v>
      </c>
    </row>
    <row r="192">
      <c r="A192" s="1" t="s">
        <v>193</v>
      </c>
      <c r="B192" s="1">
        <v>2112131.0</v>
      </c>
      <c r="C192" s="1">
        <v>2936779.0</v>
      </c>
      <c r="D192" s="1">
        <v>3995256.0</v>
      </c>
      <c r="E192" s="1">
        <v>5398768.0</v>
      </c>
      <c r="F192" s="1">
        <v>6284735.0</v>
      </c>
      <c r="G192" s="1">
        <v>7652141.0</v>
      </c>
      <c r="H192" s="1">
        <v>9749310.0</v>
      </c>
      <c r="I192" s="4">
        <f t="shared" si="1"/>
        <v>3.615864262</v>
      </c>
      <c r="J192" s="5" t="str">
        <f t="shared" si="2"/>
        <v>Medium</v>
      </c>
    </row>
    <row r="193">
      <c r="A193" s="1" t="s">
        <v>194</v>
      </c>
      <c r="B193" s="1">
        <v>9901419.0</v>
      </c>
      <c r="C193" s="1">
        <v>1.3492677E7</v>
      </c>
      <c r="D193" s="1">
        <v>1.9189769E7</v>
      </c>
      <c r="E193" s="1">
        <v>2.6110207E7</v>
      </c>
      <c r="F193" s="1">
        <v>3.4260139E7</v>
      </c>
      <c r="G193" s="1">
        <v>4.4758488E7</v>
      </c>
      <c r="H193" s="1">
        <v>6.0972798E7</v>
      </c>
      <c r="I193" s="4">
        <f t="shared" si="1"/>
        <v>5.15798584</v>
      </c>
      <c r="J193" s="5" t="str">
        <f t="shared" si="2"/>
        <v>Large</v>
      </c>
    </row>
    <row r="194">
      <c r="A194" s="1" t="s">
        <v>195</v>
      </c>
      <c r="B194" s="1">
        <v>2.6851747E7</v>
      </c>
      <c r="C194" s="1">
        <v>3.5954408E7</v>
      </c>
      <c r="D194" s="1">
        <v>4.5650022E7</v>
      </c>
      <c r="E194" s="1">
        <v>5.4738329E7</v>
      </c>
      <c r="F194" s="1">
        <v>6.3007815E7</v>
      </c>
      <c r="G194" s="1">
        <v>6.8579447E7</v>
      </c>
      <c r="H194" s="1">
        <v>7.1641484E7</v>
      </c>
      <c r="I194" s="4">
        <f t="shared" si="1"/>
        <v>1.668038098</v>
      </c>
      <c r="J194" s="5" t="str">
        <f t="shared" si="2"/>
        <v>Large</v>
      </c>
    </row>
    <row r="195">
      <c r="A195" s="1" t="s">
        <v>196</v>
      </c>
      <c r="B195" s="1">
        <v>468118.0</v>
      </c>
      <c r="C195" s="1">
        <v>553069.0</v>
      </c>
      <c r="D195" s="1">
        <v>649871.0</v>
      </c>
      <c r="E195" s="1">
        <v>760345.0</v>
      </c>
      <c r="F195" s="1">
        <v>745088.0</v>
      </c>
      <c r="G195" s="1">
        <v>1084679.0</v>
      </c>
      <c r="H195" s="1">
        <v>1326053.0</v>
      </c>
      <c r="I195" s="4">
        <f t="shared" si="1"/>
        <v>1.832732345</v>
      </c>
      <c r="J195" s="5" t="str">
        <f t="shared" si="2"/>
        <v>Medium</v>
      </c>
    </row>
    <row r="196">
      <c r="A196" s="1" t="s">
        <v>197</v>
      </c>
      <c r="B196" s="1">
        <v>1673110.0</v>
      </c>
      <c r="C196" s="1">
        <v>2244773.0</v>
      </c>
      <c r="D196" s="1">
        <v>2920894.0</v>
      </c>
      <c r="E196" s="1">
        <v>3998761.0</v>
      </c>
      <c r="F196" s="1">
        <v>5140037.0</v>
      </c>
      <c r="G196" s="1">
        <v>6732590.0</v>
      </c>
      <c r="H196" s="1">
        <v>8669720.0</v>
      </c>
      <c r="I196" s="4">
        <f t="shared" si="1"/>
        <v>4.181799164</v>
      </c>
      <c r="J196" s="5" t="str">
        <f t="shared" si="2"/>
        <v>Medium</v>
      </c>
    </row>
    <row r="197">
      <c r="A197" s="1" t="s">
        <v>198</v>
      </c>
      <c r="B197" s="1">
        <v>66170.0</v>
      </c>
      <c r="C197" s="1">
        <v>84401.0</v>
      </c>
      <c r="D197" s="1">
        <v>97769.0</v>
      </c>
      <c r="E197" s="1">
        <v>99700.0</v>
      </c>
      <c r="F197" s="1">
        <v>102677.0</v>
      </c>
      <c r="G197" s="1">
        <v>107400.0</v>
      </c>
      <c r="H197" s="1">
        <v>105704.0</v>
      </c>
      <c r="I197" s="4">
        <f t="shared" si="1"/>
        <v>0.5974610851</v>
      </c>
      <c r="J197" s="5" t="str">
        <f t="shared" si="2"/>
        <v>Small</v>
      </c>
    </row>
    <row r="198">
      <c r="A198" s="1" t="s">
        <v>199</v>
      </c>
      <c r="B198" s="1">
        <v>844943.0</v>
      </c>
      <c r="C198" s="1">
        <v>991471.0</v>
      </c>
      <c r="D198" s="1">
        <v>1121744.0</v>
      </c>
      <c r="E198" s="1">
        <v>1252208.0</v>
      </c>
      <c r="F198" s="1">
        <v>1319774.0</v>
      </c>
      <c r="G198" s="1">
        <v>1317714.0</v>
      </c>
      <c r="H198" s="1">
        <v>1366725.0</v>
      </c>
      <c r="I198" s="4">
        <f t="shared" si="1"/>
        <v>0.6175351473</v>
      </c>
      <c r="J198" s="5" t="str">
        <f t="shared" si="2"/>
        <v>Medium</v>
      </c>
    </row>
    <row r="199">
      <c r="A199" s="1" t="s">
        <v>200</v>
      </c>
      <c r="B199" s="1">
        <v>4267288.0</v>
      </c>
      <c r="C199" s="1">
        <v>5131396.0</v>
      </c>
      <c r="D199" s="1">
        <v>6606195.0</v>
      </c>
      <c r="E199" s="1">
        <v>8324509.0</v>
      </c>
      <c r="F199" s="1">
        <v>9764935.0</v>
      </c>
      <c r="G199" s="1">
        <v>1.076598E7</v>
      </c>
      <c r="H199" s="1">
        <v>1.1974057E7</v>
      </c>
      <c r="I199" s="4">
        <f t="shared" si="1"/>
        <v>1.806010984</v>
      </c>
      <c r="J199" s="5" t="str">
        <f t="shared" si="2"/>
        <v>Large</v>
      </c>
    </row>
    <row r="200">
      <c r="A200" s="1" t="s">
        <v>201</v>
      </c>
      <c r="B200" s="1">
        <v>2.8329898E7</v>
      </c>
      <c r="C200" s="1">
        <v>3.6638465E7</v>
      </c>
      <c r="D200" s="1">
        <v>4.5408815E7</v>
      </c>
      <c r="E200" s="1">
        <v>5.6015628E7</v>
      </c>
      <c r="F200" s="1">
        <v>6.5425961E7</v>
      </c>
      <c r="G200" s="1">
        <v>7.314215E7</v>
      </c>
      <c r="H200" s="1">
        <v>8.338468E7</v>
      </c>
      <c r="I200" s="4">
        <f t="shared" si="1"/>
        <v>1.943345578</v>
      </c>
      <c r="J200" s="5" t="str">
        <f t="shared" si="2"/>
        <v>Large</v>
      </c>
    </row>
    <row r="201">
      <c r="A201" s="1" t="s">
        <v>202</v>
      </c>
      <c r="B201" s="1">
        <v>1643457.0</v>
      </c>
      <c r="C201" s="1">
        <v>2195616.0</v>
      </c>
      <c r="D201" s="1">
        <v>2832203.0</v>
      </c>
      <c r="E201" s="1">
        <v>3760562.0</v>
      </c>
      <c r="F201" s="1">
        <v>4582677.0</v>
      </c>
      <c r="G201" s="1">
        <v>5564356.0</v>
      </c>
      <c r="H201" s="1">
        <v>6949912.0</v>
      </c>
      <c r="I201" s="4">
        <f t="shared" si="1"/>
        <v>3.22883714</v>
      </c>
      <c r="J201" s="5" t="str">
        <f t="shared" si="2"/>
        <v>Medium</v>
      </c>
    </row>
    <row r="202">
      <c r="A202" s="1" t="s">
        <v>203</v>
      </c>
      <c r="B202" s="1">
        <v>5599.0</v>
      </c>
      <c r="C202" s="1">
        <v>5667.0</v>
      </c>
      <c r="D202" s="1">
        <v>7564.0</v>
      </c>
      <c r="E202" s="1">
        <v>11688.0</v>
      </c>
      <c r="F202" s="1">
        <v>18730.0</v>
      </c>
      <c r="G202" s="1">
        <v>29739.0</v>
      </c>
      <c r="H202" s="1">
        <v>44386.0</v>
      </c>
      <c r="I202" s="4">
        <f t="shared" si="1"/>
        <v>6.927487051</v>
      </c>
      <c r="J202" s="5" t="str">
        <f t="shared" si="2"/>
        <v>Small</v>
      </c>
    </row>
    <row r="203">
      <c r="A203" s="1" t="s">
        <v>204</v>
      </c>
      <c r="B203" s="1">
        <v>5598.0</v>
      </c>
      <c r="C203" s="1">
        <v>5663.0</v>
      </c>
      <c r="D203" s="1">
        <v>7366.0</v>
      </c>
      <c r="E203" s="1">
        <v>8798.0</v>
      </c>
      <c r="F203" s="1">
        <v>9544.0</v>
      </c>
      <c r="G203" s="1">
        <v>10614.0</v>
      </c>
      <c r="H203" s="1">
        <v>10399.0</v>
      </c>
      <c r="I203" s="4">
        <f t="shared" si="1"/>
        <v>0.8576277242</v>
      </c>
      <c r="J203" s="5" t="str">
        <f t="shared" si="2"/>
        <v>Small</v>
      </c>
    </row>
    <row r="204">
      <c r="A204" s="1" t="s">
        <v>205</v>
      </c>
      <c r="B204" s="1">
        <v>7640973.0</v>
      </c>
      <c r="C204" s="1">
        <v>1.0321603E7</v>
      </c>
      <c r="D204" s="1">
        <v>1.3275741E7</v>
      </c>
      <c r="E204" s="1">
        <v>1.7569897E7</v>
      </c>
      <c r="F204" s="1">
        <v>2.400015E7</v>
      </c>
      <c r="G204" s="1">
        <v>3.2390802E7</v>
      </c>
      <c r="H204" s="1">
        <v>4.4457152E7</v>
      </c>
      <c r="I204" s="4">
        <f t="shared" si="1"/>
        <v>4.818257963</v>
      </c>
      <c r="J204" s="5" t="str">
        <f t="shared" si="2"/>
        <v>Large</v>
      </c>
    </row>
    <row r="205">
      <c r="A205" s="1" t="s">
        <v>206</v>
      </c>
      <c r="B205" s="1">
        <v>4.2824093E7</v>
      </c>
      <c r="C205" s="1">
        <v>4.7261306E7</v>
      </c>
      <c r="D205" s="1">
        <v>4.9955152E7</v>
      </c>
      <c r="E205" s="1">
        <v>5.2054092E7</v>
      </c>
      <c r="F205" s="1">
        <v>4.955666E7</v>
      </c>
      <c r="G205" s="1">
        <v>4.6456003E7</v>
      </c>
      <c r="H205" s="1">
        <v>4.4680014E7</v>
      </c>
      <c r="I205" s="4">
        <f t="shared" si="1"/>
        <v>0.0433382442</v>
      </c>
      <c r="J205" s="5" t="str">
        <f t="shared" si="2"/>
        <v>Large</v>
      </c>
    </row>
    <row r="206">
      <c r="A206" s="1" t="s">
        <v>207</v>
      </c>
      <c r="B206" s="1">
        <v>131334.0</v>
      </c>
      <c r="C206" s="1">
        <v>286536.0</v>
      </c>
      <c r="D206" s="1">
        <v>1015700.0</v>
      </c>
      <c r="E206" s="1">
        <v>1898220.0</v>
      </c>
      <c r="F206" s="1">
        <v>3493575.0</v>
      </c>
      <c r="G206" s="1">
        <v>6869838.0</v>
      </c>
      <c r="H206" s="1">
        <v>9401038.0</v>
      </c>
      <c r="I206" s="4">
        <f t="shared" si="1"/>
        <v>70.58114426</v>
      </c>
      <c r="J206" s="5" t="str">
        <f t="shared" si="2"/>
        <v>Medium</v>
      </c>
    </row>
    <row r="207">
      <c r="A207" s="1" t="s">
        <v>208</v>
      </c>
      <c r="B207" s="1">
        <v>5.24E7</v>
      </c>
      <c r="C207" s="1">
        <v>5.566325E7</v>
      </c>
      <c r="D207" s="1">
        <v>5.6314216E7</v>
      </c>
      <c r="E207" s="1">
        <v>5.7247586E7</v>
      </c>
      <c r="F207" s="1">
        <v>5.8892514E7</v>
      </c>
      <c r="G207" s="1">
        <v>6.2766365E7</v>
      </c>
      <c r="H207" s="1">
        <v>6.6744E7</v>
      </c>
      <c r="I207" s="4">
        <f t="shared" si="1"/>
        <v>0.273740458</v>
      </c>
      <c r="J207" s="5" t="str">
        <f t="shared" si="2"/>
        <v>Large</v>
      </c>
    </row>
    <row r="208">
      <c r="A208" s="1" t="s">
        <v>209</v>
      </c>
      <c r="B208" s="1">
        <v>1.80671E8</v>
      </c>
      <c r="C208" s="1">
        <v>2.05052E8</v>
      </c>
      <c r="D208" s="1">
        <v>2.27225E8</v>
      </c>
      <c r="E208" s="1">
        <v>2.49623E8</v>
      </c>
      <c r="F208" s="1">
        <v>2.82162411E8</v>
      </c>
      <c r="G208" s="1">
        <v>3.09378227E8</v>
      </c>
      <c r="H208" s="1">
        <v>3.3157772E8</v>
      </c>
      <c r="I208" s="4">
        <f t="shared" si="1"/>
        <v>0.8352570141</v>
      </c>
      <c r="J208" s="5" t="str">
        <f t="shared" si="2"/>
        <v>Large</v>
      </c>
    </row>
    <row r="209">
      <c r="A209" s="1" t="s">
        <v>210</v>
      </c>
      <c r="B209" s="1">
        <v>2529957.0</v>
      </c>
      <c r="C209" s="1">
        <v>2790807.0</v>
      </c>
      <c r="D209" s="1">
        <v>2951953.0</v>
      </c>
      <c r="E209" s="1">
        <v>3104403.0</v>
      </c>
      <c r="F209" s="1">
        <v>3266206.0</v>
      </c>
      <c r="G209" s="1">
        <v>3318580.0</v>
      </c>
      <c r="H209" s="1">
        <v>3398968.0</v>
      </c>
      <c r="I209" s="4">
        <f t="shared" si="1"/>
        <v>0.3434884466</v>
      </c>
      <c r="J209" s="5" t="str">
        <f t="shared" si="2"/>
        <v>Medium</v>
      </c>
    </row>
    <row r="210">
      <c r="A210" s="1" t="s">
        <v>211</v>
      </c>
      <c r="B210" s="1">
        <v>8209109.0</v>
      </c>
      <c r="C210" s="1">
        <v>1.1762638E7</v>
      </c>
      <c r="D210" s="1">
        <v>1.5619936E7</v>
      </c>
      <c r="E210" s="1">
        <v>2.0464956E7</v>
      </c>
      <c r="F210" s="1">
        <v>2.4787054E7</v>
      </c>
      <c r="G210" s="1">
        <v>2.8385506E7</v>
      </c>
      <c r="H210" s="1">
        <v>3.3586372E7</v>
      </c>
      <c r="I210" s="4">
        <f t="shared" si="1"/>
        <v>3.091354129</v>
      </c>
      <c r="J210" s="5" t="str">
        <f t="shared" si="2"/>
        <v>Large</v>
      </c>
    </row>
    <row r="211">
      <c r="A211" s="1" t="s">
        <v>212</v>
      </c>
      <c r="B211" s="1">
        <v>64431.0</v>
      </c>
      <c r="C211" s="1">
        <v>86266.0</v>
      </c>
      <c r="D211" s="1">
        <v>115660.0</v>
      </c>
      <c r="E211" s="1">
        <v>148063.0</v>
      </c>
      <c r="F211" s="1">
        <v>186281.0</v>
      </c>
      <c r="G211" s="1">
        <v>238248.0</v>
      </c>
      <c r="H211" s="1">
        <v>298858.0</v>
      </c>
      <c r="I211" s="4">
        <f t="shared" si="1"/>
        <v>3.638419394</v>
      </c>
      <c r="J211" s="5" t="str">
        <f t="shared" si="2"/>
        <v>Small</v>
      </c>
    </row>
    <row r="212">
      <c r="A212" s="1" t="s">
        <v>213</v>
      </c>
      <c r="B212" s="1">
        <v>8160090.0</v>
      </c>
      <c r="C212" s="1">
        <v>1.138779E7</v>
      </c>
      <c r="D212" s="1">
        <v>1.5258218E7</v>
      </c>
      <c r="E212" s="1">
        <v>1.982701E7</v>
      </c>
      <c r="F212" s="1">
        <v>2.4526708E7</v>
      </c>
      <c r="G212" s="1">
        <v>2.8813101E7</v>
      </c>
      <c r="H212" s="1">
        <v>2.8444077E7</v>
      </c>
      <c r="I212" s="4">
        <f t="shared" si="1"/>
        <v>2.485755304</v>
      </c>
      <c r="J212" s="5" t="str">
        <f t="shared" si="2"/>
        <v>Large</v>
      </c>
    </row>
    <row r="213">
      <c r="A213" s="1" t="s">
        <v>214</v>
      </c>
      <c r="B213" s="1">
        <v>3.2531933E7</v>
      </c>
      <c r="C213" s="1">
        <v>4.147523E7</v>
      </c>
      <c r="D213" s="1">
        <v>5.2490101E7</v>
      </c>
      <c r="E213" s="1">
        <v>6.5504552E7</v>
      </c>
      <c r="F213" s="1">
        <v>7.7154011E7</v>
      </c>
      <c r="G213" s="1">
        <v>8.7455152E7</v>
      </c>
      <c r="H213" s="1">
        <v>9.8079191E7</v>
      </c>
      <c r="I213" s="4">
        <f t="shared" si="1"/>
        <v>2.014859</v>
      </c>
      <c r="J213" s="5" t="str">
        <f t="shared" si="2"/>
        <v>Large</v>
      </c>
    </row>
    <row r="214">
      <c r="A214" s="1" t="s">
        <v>215</v>
      </c>
      <c r="B214" s="1">
        <v>32500.0</v>
      </c>
      <c r="C214" s="1">
        <v>63476.0</v>
      </c>
      <c r="D214" s="1">
        <v>99636.0</v>
      </c>
      <c r="E214" s="1">
        <v>103963.0</v>
      </c>
      <c r="F214" s="1">
        <v>108642.0</v>
      </c>
      <c r="G214" s="1">
        <v>108357.0</v>
      </c>
      <c r="H214" s="1">
        <v>106290.0</v>
      </c>
      <c r="I214" s="4">
        <f t="shared" si="1"/>
        <v>2.270461538</v>
      </c>
      <c r="J214" s="5" t="str">
        <f t="shared" si="2"/>
        <v>Small</v>
      </c>
    </row>
    <row r="215">
      <c r="A215" s="1" t="s">
        <v>216</v>
      </c>
      <c r="B215" s="1"/>
      <c r="C215" s="1"/>
      <c r="D215" s="1"/>
      <c r="E215" s="1">
        <v>1978248.0</v>
      </c>
      <c r="F215" s="1">
        <v>2922153.0</v>
      </c>
      <c r="G215" s="1">
        <v>3786161.0</v>
      </c>
      <c r="H215" s="1">
        <v>4803269.0</v>
      </c>
      <c r="I215" s="4">
        <f>(H215-E215)/E215</f>
        <v>1.428041884</v>
      </c>
      <c r="J215" s="5" t="str">
        <f t="shared" si="2"/>
        <v>Medium</v>
      </c>
    </row>
    <row r="216">
      <c r="A216" s="1" t="s">
        <v>217</v>
      </c>
      <c r="B216" s="1">
        <v>5532301.0</v>
      </c>
      <c r="C216" s="1">
        <v>7065279.0</v>
      </c>
      <c r="D216" s="1">
        <v>9543358.0</v>
      </c>
      <c r="E216" s="1">
        <v>1.3887862E7</v>
      </c>
      <c r="F216" s="1">
        <v>1.9624141E7</v>
      </c>
      <c r="G216" s="1">
        <v>2.6754387E7</v>
      </c>
      <c r="H216" s="1">
        <v>3.6134863E7</v>
      </c>
      <c r="I216" s="4">
        <f t="shared" ref="I216:I218" si="3">(H216-B216)/B216</f>
        <v>5.531615507</v>
      </c>
      <c r="J216" s="5" t="str">
        <f t="shared" si="2"/>
        <v>Large</v>
      </c>
    </row>
    <row r="217">
      <c r="A217" s="1" t="s">
        <v>218</v>
      </c>
      <c r="B217" s="1">
        <v>3153729.0</v>
      </c>
      <c r="C217" s="1">
        <v>4321718.0</v>
      </c>
      <c r="D217" s="1">
        <v>5802833.0</v>
      </c>
      <c r="E217" s="1">
        <v>7786169.0</v>
      </c>
      <c r="F217" s="1">
        <v>1.0017631E7</v>
      </c>
      <c r="G217" s="1">
        <v>1.3965594E7</v>
      </c>
      <c r="H217" s="1">
        <v>1.9059395E7</v>
      </c>
      <c r="I217" s="4">
        <f t="shared" si="3"/>
        <v>5.043447297</v>
      </c>
      <c r="J217" s="5" t="str">
        <f t="shared" si="2"/>
        <v>Large</v>
      </c>
    </row>
    <row r="218">
      <c r="A218" s="1" t="s">
        <v>219</v>
      </c>
      <c r="B218" s="1">
        <v>3809389.0</v>
      </c>
      <c r="C218" s="1">
        <v>5215918.0</v>
      </c>
      <c r="D218" s="1">
        <v>7041303.0</v>
      </c>
      <c r="E218" s="1">
        <v>1.0137281E7</v>
      </c>
      <c r="F218" s="1">
        <v>1.1892055E7</v>
      </c>
      <c r="G218" s="1">
        <v>1.3356548E7</v>
      </c>
      <c r="H218" s="1">
        <v>1.5526888E7</v>
      </c>
      <c r="I218" s="4">
        <f t="shared" si="3"/>
        <v>3.075952338</v>
      </c>
      <c r="J218" s="5" t="str">
        <f t="shared" si="2"/>
        <v>Large</v>
      </c>
    </row>
  </sheetData>
  <mergeCells count="4">
    <mergeCell ref="A1:A2"/>
    <mergeCell ref="B1:H1"/>
    <mergeCell ref="I1:I2"/>
    <mergeCell ref="J1:J2"/>
  </mergeCells>
  <conditionalFormatting sqref="A1:I2">
    <cfRule type="notContainsBlanks" dxfId="0" priority="1">
      <formula>LEN(TRIM(A1))&gt;0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1" max="12" width="26.25"/>
    <col customWidth="1" min="13" max="13" width="18.5"/>
    <col customWidth="1" min="14" max="14" width="29.63"/>
    <col customWidth="1" min="15" max="15" width="19.63"/>
  </cols>
  <sheetData>
    <row r="1">
      <c r="A1" s="1" t="s">
        <v>0</v>
      </c>
      <c r="B1" s="2" t="s">
        <v>1</v>
      </c>
      <c r="I1" s="3" t="s">
        <v>2</v>
      </c>
      <c r="J1" s="3" t="s">
        <v>3</v>
      </c>
      <c r="K1" s="6"/>
      <c r="L1" s="6"/>
      <c r="M1" s="6"/>
      <c r="N1" s="6"/>
      <c r="O1" s="6"/>
    </row>
    <row r="2" ht="22.5" customHeight="1">
      <c r="B2" s="1">
        <v>1960.0</v>
      </c>
      <c r="C2" s="1">
        <v>1970.0</v>
      </c>
      <c r="D2" s="1">
        <v>1980.0</v>
      </c>
      <c r="E2" s="1">
        <v>1990.0</v>
      </c>
      <c r="F2" s="1">
        <v>2000.0</v>
      </c>
      <c r="G2" s="1">
        <v>2010.0</v>
      </c>
      <c r="H2" s="1">
        <v>2020.0</v>
      </c>
      <c r="K2" s="6"/>
      <c r="L2" s="7" t="s">
        <v>220</v>
      </c>
      <c r="M2" s="7" t="s">
        <v>221</v>
      </c>
      <c r="N2" s="7" t="s">
        <v>222</v>
      </c>
      <c r="O2" s="7" t="s">
        <v>223</v>
      </c>
    </row>
    <row r="3" ht="22.5" customHeight="1">
      <c r="A3" s="1" t="s">
        <v>4</v>
      </c>
      <c r="B3" s="1">
        <v>9035043.0</v>
      </c>
      <c r="C3" s="1">
        <v>1.1290128E7</v>
      </c>
      <c r="D3" s="1">
        <v>1.3169311E7</v>
      </c>
      <c r="E3" s="1">
        <v>1.204566E7</v>
      </c>
      <c r="F3" s="1">
        <v>2.0130327E7</v>
      </c>
      <c r="G3" s="1">
        <v>2.8284089E7</v>
      </c>
      <c r="H3" s="1">
        <v>3.9068979E7</v>
      </c>
      <c r="I3" s="4">
        <f t="shared" ref="I3:I214" si="1">(H3-B3)/B3</f>
        <v>3.324160826</v>
      </c>
      <c r="J3" s="5" t="str">
        <f t="shared" ref="J3:J218" si="2">IF(H3&lt;1000000, "Small", IF(H3&lt;=10000000, "Medium", "Large"))</f>
        <v>Large</v>
      </c>
      <c r="L3" s="8" t="s">
        <v>224</v>
      </c>
      <c r="M3" s="9" t="s">
        <v>225</v>
      </c>
      <c r="N3" s="8" t="s">
        <v>226</v>
      </c>
      <c r="O3" s="9" t="s">
        <v>227</v>
      </c>
    </row>
    <row r="4" ht="22.5" customHeight="1">
      <c r="A4" s="1" t="s">
        <v>5</v>
      </c>
      <c r="B4" s="1">
        <v>1608800.0</v>
      </c>
      <c r="C4" s="1">
        <v>2135479.0</v>
      </c>
      <c r="D4" s="1">
        <v>2671997.0</v>
      </c>
      <c r="E4" s="1">
        <v>3286542.0</v>
      </c>
      <c r="F4" s="1">
        <v>3089027.0</v>
      </c>
      <c r="G4" s="1">
        <v>2913021.0</v>
      </c>
      <c r="H4" s="1">
        <v>2528480.0</v>
      </c>
      <c r="I4" s="4">
        <f t="shared" si="1"/>
        <v>0.5716558926</v>
      </c>
      <c r="J4" s="5" t="str">
        <f t="shared" si="2"/>
        <v>Medium</v>
      </c>
      <c r="K4" s="10"/>
      <c r="L4" s="11" t="s">
        <v>228</v>
      </c>
      <c r="M4" s="12" t="s">
        <v>229</v>
      </c>
      <c r="N4" s="8" t="s">
        <v>230</v>
      </c>
      <c r="O4" s="12" t="s">
        <v>231</v>
      </c>
    </row>
    <row r="5" ht="22.5" customHeight="1">
      <c r="A5" s="1" t="s">
        <v>6</v>
      </c>
      <c r="B5" s="1">
        <v>1.1424922E7</v>
      </c>
      <c r="C5" s="1">
        <v>1.3783719E7</v>
      </c>
      <c r="D5" s="1">
        <v>1.8607174E7</v>
      </c>
      <c r="E5" s="1">
        <v>2.537581E7</v>
      </c>
      <c r="F5" s="1">
        <v>3.0903893E7</v>
      </c>
      <c r="G5" s="1">
        <v>3.6188236E7</v>
      </c>
      <c r="H5" s="1">
        <v>4.4042091E7</v>
      </c>
      <c r="I5" s="4">
        <f t="shared" si="1"/>
        <v>2.854913933</v>
      </c>
      <c r="J5" s="5" t="str">
        <f t="shared" si="2"/>
        <v>Large</v>
      </c>
      <c r="L5" s="12" t="s">
        <v>232</v>
      </c>
      <c r="M5" s="12" t="s">
        <v>233</v>
      </c>
      <c r="N5" s="12" t="s">
        <v>234</v>
      </c>
      <c r="O5" s="12" t="s">
        <v>235</v>
      </c>
    </row>
    <row r="6" ht="22.5" customHeight="1">
      <c r="A6" s="1" t="s">
        <v>7</v>
      </c>
      <c r="B6" s="1">
        <v>20133.0</v>
      </c>
      <c r="C6" s="1">
        <v>27026.0</v>
      </c>
      <c r="D6" s="1">
        <v>32403.0</v>
      </c>
      <c r="E6" s="1">
        <v>46640.0</v>
      </c>
      <c r="F6" s="1">
        <v>56855.0</v>
      </c>
      <c r="G6" s="1">
        <v>55228.0</v>
      </c>
      <c r="H6" s="1">
        <v>49761.0</v>
      </c>
      <c r="I6" s="4">
        <f t="shared" si="1"/>
        <v>1.471613768</v>
      </c>
      <c r="J6" s="5" t="str">
        <f t="shared" si="2"/>
        <v>Small</v>
      </c>
      <c r="L6" s="12" t="s">
        <v>236</v>
      </c>
      <c r="M6" s="12" t="s">
        <v>237</v>
      </c>
      <c r="N6" s="12" t="s">
        <v>238</v>
      </c>
      <c r="O6" s="12" t="s">
        <v>239</v>
      </c>
    </row>
    <row r="7" ht="22.5" customHeight="1">
      <c r="A7" s="1" t="s">
        <v>8</v>
      </c>
      <c r="B7" s="1">
        <v>9510.0</v>
      </c>
      <c r="C7" s="1">
        <v>19977.0</v>
      </c>
      <c r="D7" s="1">
        <v>35782.0</v>
      </c>
      <c r="E7" s="1">
        <v>52597.0</v>
      </c>
      <c r="F7" s="1">
        <v>65685.0</v>
      </c>
      <c r="G7" s="1">
        <v>80706.0</v>
      </c>
      <c r="H7" s="1">
        <v>77380.0</v>
      </c>
      <c r="I7" s="4">
        <f t="shared" si="1"/>
        <v>7.136698212</v>
      </c>
      <c r="J7" s="5" t="str">
        <f t="shared" si="2"/>
        <v>Small</v>
      </c>
      <c r="L7" s="12" t="s">
        <v>240</v>
      </c>
      <c r="M7" s="12" t="s">
        <v>241</v>
      </c>
      <c r="N7" s="12" t="s">
        <v>242</v>
      </c>
      <c r="O7" s="12" t="s">
        <v>243</v>
      </c>
    </row>
    <row r="8" ht="22.5" customHeight="1">
      <c r="A8" s="1" t="s">
        <v>9</v>
      </c>
      <c r="B8" s="1">
        <v>5231654.0</v>
      </c>
      <c r="C8" s="1">
        <v>5852788.0</v>
      </c>
      <c r="D8" s="1">
        <v>8133872.0</v>
      </c>
      <c r="E8" s="1">
        <v>1.162636E7</v>
      </c>
      <c r="F8" s="1">
        <v>1.6194869E7</v>
      </c>
      <c r="G8" s="1">
        <v>2.3294825E7</v>
      </c>
      <c r="H8" s="1">
        <v>3.3451132E7</v>
      </c>
      <c r="I8" s="4">
        <f t="shared" si="1"/>
        <v>5.393987829</v>
      </c>
      <c r="J8" s="5" t="str">
        <f t="shared" si="2"/>
        <v>Large</v>
      </c>
      <c r="L8" s="12" t="s">
        <v>244</v>
      </c>
      <c r="M8" s="13" t="s">
        <v>245</v>
      </c>
      <c r="N8" s="12" t="s">
        <v>246</v>
      </c>
      <c r="O8" s="12" t="s">
        <v>247</v>
      </c>
    </row>
    <row r="9" ht="22.5" customHeight="1">
      <c r="A9" s="1" t="s">
        <v>10</v>
      </c>
      <c r="B9" s="1">
        <v>55603.0</v>
      </c>
      <c r="C9" s="1">
        <v>64528.0</v>
      </c>
      <c r="D9" s="1">
        <v>64513.0</v>
      </c>
      <c r="E9" s="1">
        <v>63066.0</v>
      </c>
      <c r="F9" s="1">
        <v>74912.0</v>
      </c>
      <c r="G9" s="1">
        <v>85320.0</v>
      </c>
      <c r="H9" s="1">
        <v>91846.0</v>
      </c>
      <c r="I9" s="4">
        <f t="shared" si="1"/>
        <v>0.651817348</v>
      </c>
      <c r="J9" s="5" t="str">
        <f t="shared" si="2"/>
        <v>Small</v>
      </c>
      <c r="L9" s="12" t="s">
        <v>248</v>
      </c>
      <c r="M9" s="12" t="s">
        <v>249</v>
      </c>
      <c r="N9" s="12" t="s">
        <v>250</v>
      </c>
      <c r="O9" s="12" t="s">
        <v>251</v>
      </c>
    </row>
    <row r="10" ht="22.5" customHeight="1">
      <c r="A10" s="1" t="s">
        <v>11</v>
      </c>
      <c r="B10" s="1">
        <v>2.0386045E7</v>
      </c>
      <c r="C10" s="1">
        <v>2.3878327E7</v>
      </c>
      <c r="D10" s="1">
        <v>2.8011596E7</v>
      </c>
      <c r="E10" s="1">
        <v>3.2755901E7</v>
      </c>
      <c r="F10" s="1">
        <v>3.7213984E7</v>
      </c>
      <c r="G10" s="1">
        <v>4.1288694E7</v>
      </c>
      <c r="H10" s="1">
        <v>4.5191965E7</v>
      </c>
      <c r="I10" s="4">
        <f t="shared" si="1"/>
        <v>1.216808851</v>
      </c>
      <c r="J10" s="5" t="str">
        <f t="shared" si="2"/>
        <v>Large</v>
      </c>
      <c r="L10" s="12" t="s">
        <v>252</v>
      </c>
      <c r="M10" s="12" t="s">
        <v>253</v>
      </c>
      <c r="N10" s="12" t="s">
        <v>254</v>
      </c>
      <c r="O10" s="12" t="s">
        <v>255</v>
      </c>
    </row>
    <row r="11" ht="22.5" customHeight="1">
      <c r="A11" s="1" t="s">
        <v>12</v>
      </c>
      <c r="B11" s="1">
        <v>1863705.0</v>
      </c>
      <c r="C11" s="1">
        <v>2475633.0</v>
      </c>
      <c r="D11" s="1">
        <v>3107415.0</v>
      </c>
      <c r="E11" s="1">
        <v>3552128.0</v>
      </c>
      <c r="F11" s="1">
        <v>3221100.0</v>
      </c>
      <c r="G11" s="1">
        <v>3044800.0</v>
      </c>
      <c r="H11" s="1">
        <v>2961500.0</v>
      </c>
      <c r="I11" s="4">
        <f t="shared" si="1"/>
        <v>0.5890390378</v>
      </c>
      <c r="J11" s="5" t="str">
        <f t="shared" si="2"/>
        <v>Medium</v>
      </c>
      <c r="L11" s="12" t="s">
        <v>256</v>
      </c>
      <c r="M11" s="12" t="s">
        <v>257</v>
      </c>
      <c r="N11" s="12" t="s">
        <v>258</v>
      </c>
      <c r="O11" s="12" t="s">
        <v>259</v>
      </c>
    </row>
    <row r="12">
      <c r="A12" s="1" t="s">
        <v>13</v>
      </c>
      <c r="B12" s="1">
        <v>54922.0</v>
      </c>
      <c r="C12" s="1">
        <v>58950.0</v>
      </c>
      <c r="D12" s="1">
        <v>59909.0</v>
      </c>
      <c r="E12" s="1">
        <v>62753.0</v>
      </c>
      <c r="F12" s="1">
        <v>90588.0</v>
      </c>
      <c r="G12" s="1">
        <v>101838.0</v>
      </c>
      <c r="H12" s="1">
        <v>108587.0</v>
      </c>
      <c r="I12" s="4">
        <f t="shared" si="1"/>
        <v>0.9771129966</v>
      </c>
      <c r="J12" s="5" t="str">
        <f t="shared" si="2"/>
        <v>Small</v>
      </c>
    </row>
    <row r="13">
      <c r="A13" s="1" t="s">
        <v>14</v>
      </c>
      <c r="B13" s="1">
        <v>1.0276477E7</v>
      </c>
      <c r="C13" s="1">
        <v>1.2507E7</v>
      </c>
      <c r="D13" s="1">
        <v>1.4692E7</v>
      </c>
      <c r="E13" s="1">
        <v>1.7065128E7</v>
      </c>
      <c r="F13" s="1">
        <v>1.9028802E7</v>
      </c>
      <c r="G13" s="1">
        <v>2.203175E7</v>
      </c>
      <c r="H13" s="1">
        <v>2.5649248E7</v>
      </c>
      <c r="I13" s="4">
        <f t="shared" si="1"/>
        <v>1.495918397</v>
      </c>
      <c r="J13" s="5" t="str">
        <f t="shared" si="2"/>
        <v>Large</v>
      </c>
      <c r="K13" s="1"/>
      <c r="L13" s="14" t="s">
        <v>260</v>
      </c>
      <c r="M13" s="15">
        <f> MAX(H:H)</f>
        <v>1411100000</v>
      </c>
      <c r="N13" s="16" t="s">
        <v>261</v>
      </c>
      <c r="O13" s="17">
        <f>MAX(I:I)</f>
        <v>76.59366843</v>
      </c>
    </row>
    <row r="14">
      <c r="A14" s="1" t="s">
        <v>15</v>
      </c>
      <c r="B14" s="1">
        <v>7047539.0</v>
      </c>
      <c r="C14" s="1">
        <v>7467086.0</v>
      </c>
      <c r="D14" s="1">
        <v>7549433.0</v>
      </c>
      <c r="E14" s="1">
        <v>7677850.0</v>
      </c>
      <c r="F14" s="1">
        <v>8011566.0</v>
      </c>
      <c r="G14" s="1">
        <v>8363404.0</v>
      </c>
      <c r="H14" s="1">
        <v>8916864.0</v>
      </c>
      <c r="I14" s="4">
        <f t="shared" si="1"/>
        <v>0.2652450735</v>
      </c>
      <c r="J14" s="5" t="str">
        <f t="shared" si="2"/>
        <v>Medium</v>
      </c>
      <c r="K14" s="1"/>
      <c r="L14" s="14" t="s">
        <v>262</v>
      </c>
      <c r="M14" s="18">
        <f>MIN(H3:H218)</f>
        <v>10399</v>
      </c>
      <c r="N14" s="16" t="s">
        <v>263</v>
      </c>
      <c r="O14" s="19">
        <f>MIN(I:I)</f>
        <v>-0.1673592739</v>
      </c>
    </row>
    <row r="15">
      <c r="A15" s="1" t="s">
        <v>16</v>
      </c>
      <c r="B15" s="1">
        <v>3894500.0</v>
      </c>
      <c r="C15" s="1">
        <v>5172050.0</v>
      </c>
      <c r="D15" s="1">
        <v>6160500.0</v>
      </c>
      <c r="E15" s="1">
        <v>7175200.0</v>
      </c>
      <c r="F15" s="1">
        <v>8048600.0</v>
      </c>
      <c r="G15" s="1">
        <v>9054332.0</v>
      </c>
      <c r="H15" s="1">
        <v>1.0093121E7</v>
      </c>
      <c r="I15" s="4">
        <f t="shared" si="1"/>
        <v>1.591634613</v>
      </c>
      <c r="J15" s="5" t="str">
        <f t="shared" si="2"/>
        <v>Large</v>
      </c>
      <c r="K15" s="1"/>
      <c r="L15" s="14" t="s">
        <v>264</v>
      </c>
      <c r="M15" s="18">
        <f>AVERAGE(H3:H218)</f>
        <v>36543895</v>
      </c>
      <c r="N15" s="14" t="s">
        <v>265</v>
      </c>
      <c r="O15" s="19">
        <f>AVERAGE(I3:I218)</f>
        <v>3.032470337</v>
      </c>
    </row>
    <row r="16">
      <c r="A16" s="1" t="s">
        <v>17</v>
      </c>
      <c r="B16" s="1">
        <v>116317.0</v>
      </c>
      <c r="C16" s="1">
        <v>184982.0</v>
      </c>
      <c r="D16" s="1">
        <v>232526.0</v>
      </c>
      <c r="E16" s="1">
        <v>275945.0</v>
      </c>
      <c r="F16" s="1">
        <v>323835.0</v>
      </c>
      <c r="G16" s="1">
        <v>367478.0</v>
      </c>
      <c r="H16" s="1">
        <v>395863.0</v>
      </c>
      <c r="I16" s="4">
        <f t="shared" si="1"/>
        <v>2.40331164</v>
      </c>
      <c r="J16" s="5" t="str">
        <f t="shared" si="2"/>
        <v>Small</v>
      </c>
      <c r="K16" s="1"/>
      <c r="L16" s="14" t="s">
        <v>266</v>
      </c>
      <c r="M16" s="20">
        <f>MEDIAN(H3:H218)</f>
        <v>6557981.5</v>
      </c>
      <c r="N16" s="14" t="s">
        <v>267</v>
      </c>
      <c r="O16" s="21">
        <f>MEDIAN(I4:I218)</f>
        <v>1.952765184</v>
      </c>
    </row>
    <row r="17">
      <c r="A17" s="1" t="s">
        <v>18</v>
      </c>
      <c r="B17" s="1">
        <v>165477.0</v>
      </c>
      <c r="C17" s="1">
        <v>224809.0</v>
      </c>
      <c r="D17" s="1">
        <v>358978.0</v>
      </c>
      <c r="E17" s="1">
        <v>514797.0</v>
      </c>
      <c r="F17" s="1">
        <v>637582.0</v>
      </c>
      <c r="G17" s="1">
        <v>1228543.0</v>
      </c>
      <c r="H17" s="1">
        <v>1472204.0</v>
      </c>
      <c r="I17" s="4">
        <f t="shared" si="1"/>
        <v>7.896728851</v>
      </c>
      <c r="J17" s="5" t="str">
        <f t="shared" si="2"/>
        <v>Medium</v>
      </c>
    </row>
    <row r="18">
      <c r="A18" s="1" t="s">
        <v>19</v>
      </c>
      <c r="B18" s="1">
        <v>5.182866E7</v>
      </c>
      <c r="C18" s="1">
        <v>6.9058894E7</v>
      </c>
      <c r="D18" s="1">
        <v>8.8016432E7</v>
      </c>
      <c r="E18" s="1">
        <v>1.11633717E8</v>
      </c>
      <c r="F18" s="1">
        <v>1.34544304E8</v>
      </c>
      <c r="G18" s="1">
        <v>1.52201981E8</v>
      </c>
      <c r="H18" s="1">
        <v>1.66298024E8</v>
      </c>
      <c r="I18" s="4">
        <f t="shared" si="1"/>
        <v>2.208611297</v>
      </c>
      <c r="J18" s="5" t="str">
        <f t="shared" si="2"/>
        <v>Large</v>
      </c>
      <c r="L18" s="16" t="s">
        <v>268</v>
      </c>
      <c r="M18" s="22"/>
    </row>
    <row r="19">
      <c r="A19" s="1" t="s">
        <v>20</v>
      </c>
      <c r="B19" s="1">
        <v>230893.0</v>
      </c>
      <c r="C19" s="1">
        <v>249387.0</v>
      </c>
      <c r="D19" s="1">
        <v>251524.0</v>
      </c>
      <c r="E19" s="1">
        <v>258582.0</v>
      </c>
      <c r="F19" s="1">
        <v>262063.0</v>
      </c>
      <c r="G19" s="1">
        <v>275243.0</v>
      </c>
      <c r="H19" s="1">
        <v>281698.0</v>
      </c>
      <c r="I19" s="4">
        <f t="shared" si="1"/>
        <v>0.2200369868</v>
      </c>
      <c r="J19" s="5" t="str">
        <f t="shared" si="2"/>
        <v>Small</v>
      </c>
      <c r="L19" s="23" t="s">
        <v>269</v>
      </c>
      <c r="M19" s="24">
        <f>(H93+H208+H94+H152+H29+H18+H146+H130+H164)/SUM(H3:H218)</f>
        <v>0.3692582005</v>
      </c>
    </row>
    <row r="20">
      <c r="A20" s="1" t="s">
        <v>21</v>
      </c>
      <c r="B20" s="1">
        <v>8198000.0</v>
      </c>
      <c r="C20" s="1">
        <v>9040000.0</v>
      </c>
      <c r="D20" s="1">
        <v>9643000.0</v>
      </c>
      <c r="E20" s="1">
        <v>1.0189348E7</v>
      </c>
      <c r="F20" s="1">
        <v>9979610.0</v>
      </c>
      <c r="G20" s="1">
        <v>9483836.0</v>
      </c>
      <c r="H20" s="1">
        <v>9379952.0</v>
      </c>
      <c r="I20" s="4">
        <f t="shared" si="1"/>
        <v>0.1441756526</v>
      </c>
      <c r="J20" s="5" t="str">
        <f t="shared" si="2"/>
        <v>Medium</v>
      </c>
      <c r="L20" s="23" t="s">
        <v>270</v>
      </c>
      <c r="M20" s="24">
        <f>(H140+H152+H167+H185+H79+H214+H174+H133+H117)/SUM(H3:H218)</f>
        <v>0.0298145213</v>
      </c>
    </row>
    <row r="21">
      <c r="A21" s="1" t="s">
        <v>22</v>
      </c>
      <c r="B21" s="1">
        <v>9153489.0</v>
      </c>
      <c r="C21" s="1">
        <v>9655549.0</v>
      </c>
      <c r="D21" s="1">
        <v>9859242.0</v>
      </c>
      <c r="E21" s="1">
        <v>9967379.0</v>
      </c>
      <c r="F21" s="1">
        <v>1.025125E7</v>
      </c>
      <c r="G21" s="1">
        <v>1.0895586E7</v>
      </c>
      <c r="H21" s="1">
        <v>1.1538604E7</v>
      </c>
      <c r="I21" s="4">
        <f t="shared" si="1"/>
        <v>0.2605689481</v>
      </c>
      <c r="J21" s="5" t="str">
        <f t="shared" si="2"/>
        <v>Large</v>
      </c>
    </row>
    <row r="22">
      <c r="A22" s="1" t="s">
        <v>23</v>
      </c>
      <c r="B22" s="1">
        <v>91318.0</v>
      </c>
      <c r="C22" s="1">
        <v>120736.0</v>
      </c>
      <c r="D22" s="1">
        <v>145062.0</v>
      </c>
      <c r="E22" s="1">
        <v>183076.0</v>
      </c>
      <c r="F22" s="1">
        <v>240799.0</v>
      </c>
      <c r="G22" s="1">
        <v>320245.0</v>
      </c>
      <c r="H22" s="1">
        <v>390812.0</v>
      </c>
      <c r="I22" s="4">
        <f t="shared" si="1"/>
        <v>3.27968199</v>
      </c>
      <c r="J22" s="5" t="str">
        <f t="shared" si="2"/>
        <v>Small</v>
      </c>
    </row>
    <row r="23">
      <c r="A23" s="1" t="s">
        <v>24</v>
      </c>
      <c r="B23" s="1">
        <v>2517286.0</v>
      </c>
      <c r="C23" s="1">
        <v>3065057.0</v>
      </c>
      <c r="D23" s="1">
        <v>3925251.0</v>
      </c>
      <c r="E23" s="1">
        <v>5281479.0</v>
      </c>
      <c r="F23" s="1">
        <v>7221619.0</v>
      </c>
      <c r="G23" s="1">
        <v>9797484.0</v>
      </c>
      <c r="H23" s="1">
        <v>1.3070169E7</v>
      </c>
      <c r="I23" s="4">
        <f t="shared" si="1"/>
        <v>4.192166881</v>
      </c>
      <c r="J23" s="5" t="str">
        <f t="shared" si="2"/>
        <v>Large</v>
      </c>
    </row>
    <row r="24">
      <c r="A24" s="1" t="s">
        <v>25</v>
      </c>
      <c r="B24" s="1">
        <v>42208.0</v>
      </c>
      <c r="C24" s="1">
        <v>52124.0</v>
      </c>
      <c r="D24" s="1">
        <v>53673.0</v>
      </c>
      <c r="E24" s="1">
        <v>57559.0</v>
      </c>
      <c r="F24" s="1">
        <v>61550.0</v>
      </c>
      <c r="G24" s="1">
        <v>63725.0</v>
      </c>
      <c r="H24" s="1">
        <v>64382.0</v>
      </c>
      <c r="I24" s="4">
        <f t="shared" si="1"/>
        <v>0.5253506444</v>
      </c>
      <c r="J24" s="5" t="str">
        <f t="shared" si="2"/>
        <v>Small</v>
      </c>
    </row>
    <row r="25">
      <c r="A25" s="1" t="s">
        <v>26</v>
      </c>
      <c r="B25" s="1">
        <v>224084.0</v>
      </c>
      <c r="C25" s="1">
        <v>308528.0</v>
      </c>
      <c r="D25" s="1">
        <v>433404.0</v>
      </c>
      <c r="E25" s="1">
        <v>589287.0</v>
      </c>
      <c r="F25" s="1">
        <v>596863.0</v>
      </c>
      <c r="G25" s="1">
        <v>701632.0</v>
      </c>
      <c r="H25" s="1">
        <v>770006.0</v>
      </c>
      <c r="I25" s="4">
        <f t="shared" si="1"/>
        <v>2.436238196</v>
      </c>
      <c r="J25" s="5" t="str">
        <f t="shared" si="2"/>
        <v>Small</v>
      </c>
    </row>
    <row r="26">
      <c r="A26" s="1" t="s">
        <v>27</v>
      </c>
      <c r="B26" s="1">
        <v>3702323.0</v>
      </c>
      <c r="C26" s="1">
        <v>4590010.0</v>
      </c>
      <c r="D26" s="1">
        <v>5758900.0</v>
      </c>
      <c r="E26" s="1">
        <v>7130142.0</v>
      </c>
      <c r="F26" s="1">
        <v>8606326.0</v>
      </c>
      <c r="G26" s="1">
        <v>1.0182345E7</v>
      </c>
      <c r="H26" s="1">
        <v>1.1816299E7</v>
      </c>
      <c r="I26" s="4">
        <f t="shared" si="1"/>
        <v>2.191590523</v>
      </c>
      <c r="J26" s="5" t="str">
        <f t="shared" si="2"/>
        <v>Large</v>
      </c>
    </row>
    <row r="27">
      <c r="A27" s="1" t="s">
        <v>28</v>
      </c>
      <c r="B27" s="1">
        <v>3281381.0</v>
      </c>
      <c r="C27" s="1">
        <v>3773247.0</v>
      </c>
      <c r="D27" s="1">
        <v>4148426.0</v>
      </c>
      <c r="E27" s="1">
        <v>4448652.0</v>
      </c>
      <c r="F27" s="1">
        <v>4159771.0</v>
      </c>
      <c r="G27" s="1">
        <v>3811472.0</v>
      </c>
      <c r="H27" s="1">
        <v>3299349.0</v>
      </c>
      <c r="I27" s="4">
        <f t="shared" si="1"/>
        <v>0.005475743292</v>
      </c>
      <c r="J27" s="5" t="str">
        <f t="shared" si="2"/>
        <v>Medium</v>
      </c>
    </row>
    <row r="28">
      <c r="A28" s="1" t="s">
        <v>29</v>
      </c>
      <c r="B28" s="1">
        <v>516165.0</v>
      </c>
      <c r="C28" s="1">
        <v>590334.0</v>
      </c>
      <c r="D28" s="1">
        <v>937485.0</v>
      </c>
      <c r="E28" s="1">
        <v>1305696.0</v>
      </c>
      <c r="F28" s="1">
        <v>1677382.0</v>
      </c>
      <c r="G28" s="1">
        <v>2033111.0</v>
      </c>
      <c r="H28" s="1">
        <v>2365894.0</v>
      </c>
      <c r="I28" s="4">
        <f t="shared" si="1"/>
        <v>3.583600205</v>
      </c>
      <c r="J28" s="5" t="str">
        <f t="shared" si="2"/>
        <v>Medium</v>
      </c>
    </row>
    <row r="29">
      <c r="A29" s="1" t="s">
        <v>30</v>
      </c>
      <c r="B29" s="1">
        <v>7.2388126E7</v>
      </c>
      <c r="C29" s="1">
        <v>9.5375651E7</v>
      </c>
      <c r="D29" s="1">
        <v>1.21207461E8</v>
      </c>
      <c r="E29" s="1">
        <v>1.49143223E8</v>
      </c>
      <c r="F29" s="1">
        <v>1.74018282E8</v>
      </c>
      <c r="G29" s="1">
        <v>1.93701929E8</v>
      </c>
      <c r="H29" s="1">
        <v>2.08660842E8</v>
      </c>
      <c r="I29" s="4">
        <f t="shared" si="1"/>
        <v>1.882528579</v>
      </c>
      <c r="J29" s="5" t="str">
        <f t="shared" si="2"/>
        <v>Large</v>
      </c>
    </row>
    <row r="30">
      <c r="A30" s="1" t="s">
        <v>31</v>
      </c>
      <c r="B30" s="1">
        <v>7950.0</v>
      </c>
      <c r="C30" s="1">
        <v>9933.0</v>
      </c>
      <c r="D30" s="1">
        <v>11130.0</v>
      </c>
      <c r="E30" s="1">
        <v>15704.0</v>
      </c>
      <c r="F30" s="1">
        <v>20241.0</v>
      </c>
      <c r="G30" s="1">
        <v>27675.0</v>
      </c>
      <c r="H30" s="1">
        <v>37135.0</v>
      </c>
      <c r="I30" s="4">
        <f t="shared" si="1"/>
        <v>3.671069182</v>
      </c>
      <c r="J30" s="5" t="str">
        <f t="shared" si="2"/>
        <v>Small</v>
      </c>
    </row>
    <row r="31">
      <c r="A31" s="1" t="s">
        <v>32</v>
      </c>
      <c r="B31" s="1">
        <v>88347.0</v>
      </c>
      <c r="C31" s="1">
        <v>135138.0</v>
      </c>
      <c r="D31" s="1">
        <v>186111.0</v>
      </c>
      <c r="E31" s="1">
        <v>255292.0</v>
      </c>
      <c r="F31" s="1">
        <v>326424.0</v>
      </c>
      <c r="G31" s="1">
        <v>392332.0</v>
      </c>
      <c r="H31" s="1">
        <v>447404.0</v>
      </c>
      <c r="I31" s="4">
        <f t="shared" si="1"/>
        <v>4.064167431</v>
      </c>
      <c r="J31" s="5" t="str">
        <f t="shared" si="2"/>
        <v>Small</v>
      </c>
    </row>
    <row r="32">
      <c r="A32" s="1" t="s">
        <v>33</v>
      </c>
      <c r="B32" s="1">
        <v>7867374.0</v>
      </c>
      <c r="C32" s="1">
        <v>8489574.0</v>
      </c>
      <c r="D32" s="1">
        <v>8861535.0</v>
      </c>
      <c r="E32" s="1">
        <v>8718289.0</v>
      </c>
      <c r="F32" s="1">
        <v>8170172.0</v>
      </c>
      <c r="G32" s="1">
        <v>7395599.0</v>
      </c>
      <c r="H32" s="1">
        <v>6550696.0</v>
      </c>
      <c r="I32" s="4">
        <f t="shared" si="1"/>
        <v>-0.1673592739</v>
      </c>
      <c r="J32" s="5" t="str">
        <f t="shared" si="2"/>
        <v>Medium</v>
      </c>
    </row>
    <row r="33">
      <c r="A33" s="1" t="s">
        <v>34</v>
      </c>
      <c r="B33" s="1">
        <v>4778621.0</v>
      </c>
      <c r="C33" s="1">
        <v>5610304.0</v>
      </c>
      <c r="D33" s="1">
        <v>6947900.0</v>
      </c>
      <c r="E33" s="1">
        <v>9159356.0</v>
      </c>
      <c r="F33" s="1">
        <v>1.1925546E7</v>
      </c>
      <c r="G33" s="1">
        <v>1.6176498E7</v>
      </c>
      <c r="H33" s="1">
        <v>2.147869E7</v>
      </c>
      <c r="I33" s="4">
        <f t="shared" si="1"/>
        <v>3.494746497</v>
      </c>
      <c r="J33" s="5" t="str">
        <f t="shared" si="2"/>
        <v>Large</v>
      </c>
    </row>
    <row r="34">
      <c r="A34" s="1" t="s">
        <v>35</v>
      </c>
      <c r="B34" s="1">
        <v>2764258.0</v>
      </c>
      <c r="C34" s="1">
        <v>3530432.0</v>
      </c>
      <c r="D34" s="1">
        <v>4383706.0</v>
      </c>
      <c r="E34" s="1">
        <v>5587052.0</v>
      </c>
      <c r="F34" s="1">
        <v>6470194.0</v>
      </c>
      <c r="G34" s="1">
        <v>9376444.0</v>
      </c>
      <c r="H34" s="1">
        <v>1.2617036E7</v>
      </c>
      <c r="I34" s="4">
        <f t="shared" si="1"/>
        <v>3.56434819</v>
      </c>
      <c r="J34" s="5" t="str">
        <f t="shared" si="2"/>
        <v>Large</v>
      </c>
    </row>
    <row r="35">
      <c r="A35" s="1" t="s">
        <v>36</v>
      </c>
      <c r="B35" s="1">
        <v>210024.0</v>
      </c>
      <c r="C35" s="1">
        <v>287885.0</v>
      </c>
      <c r="D35" s="1">
        <v>323301.0</v>
      </c>
      <c r="E35" s="1">
        <v>375428.0</v>
      </c>
      <c r="F35" s="1">
        <v>453317.0</v>
      </c>
      <c r="G35" s="1">
        <v>509784.0</v>
      </c>
      <c r="H35" s="1">
        <v>514679.0</v>
      </c>
      <c r="I35" s="4">
        <f t="shared" si="1"/>
        <v>1.450572316</v>
      </c>
      <c r="J35" s="5" t="str">
        <f t="shared" si="2"/>
        <v>Small</v>
      </c>
    </row>
    <row r="36">
      <c r="A36" s="1" t="s">
        <v>37</v>
      </c>
      <c r="B36" s="1">
        <v>5449966.0</v>
      </c>
      <c r="C36" s="1">
        <v>6639182.0</v>
      </c>
      <c r="D36" s="1">
        <v>5199872.0</v>
      </c>
      <c r="E36" s="1">
        <v>7374752.0</v>
      </c>
      <c r="F36" s="1">
        <v>1.2462336E7</v>
      </c>
      <c r="G36" s="1">
        <v>1.4500726E7</v>
      </c>
      <c r="H36" s="1">
        <v>1.6725474E7</v>
      </c>
      <c r="I36" s="4">
        <f t="shared" si="1"/>
        <v>2.068913457</v>
      </c>
      <c r="J36" s="5" t="str">
        <f t="shared" si="2"/>
        <v>Large</v>
      </c>
    </row>
    <row r="37">
      <c r="A37" s="1" t="s">
        <v>38</v>
      </c>
      <c r="B37" s="1">
        <v>5159057.0</v>
      </c>
      <c r="C37" s="1">
        <v>6449793.0</v>
      </c>
      <c r="D37" s="1">
        <v>8512219.0</v>
      </c>
      <c r="E37" s="1">
        <v>1.1331821E7</v>
      </c>
      <c r="F37" s="1">
        <v>1.4912631E7</v>
      </c>
      <c r="G37" s="1">
        <v>1.9668066E7</v>
      </c>
      <c r="H37" s="1">
        <v>2.6210558E7</v>
      </c>
      <c r="I37" s="4">
        <f t="shared" si="1"/>
        <v>4.080493974</v>
      </c>
      <c r="J37" s="5" t="str">
        <f t="shared" si="2"/>
        <v>Large</v>
      </c>
    </row>
    <row r="38">
      <c r="A38" s="1" t="s">
        <v>39</v>
      </c>
      <c r="B38" s="1">
        <v>1.7909356E7</v>
      </c>
      <c r="C38" s="1">
        <v>2.1324E7</v>
      </c>
      <c r="D38" s="1">
        <v>2.4515667E7</v>
      </c>
      <c r="E38" s="1">
        <v>2.7691138E7</v>
      </c>
      <c r="F38" s="1">
        <v>3.068573E7</v>
      </c>
      <c r="G38" s="1">
        <v>3.4005902E7</v>
      </c>
      <c r="H38" s="1">
        <v>3.8028638E7</v>
      </c>
      <c r="I38" s="4">
        <f t="shared" si="1"/>
        <v>1.123395057</v>
      </c>
      <c r="J38" s="5" t="str">
        <f t="shared" si="2"/>
        <v>Large</v>
      </c>
    </row>
    <row r="39">
      <c r="A39" s="1" t="s">
        <v>40</v>
      </c>
      <c r="B39" s="1">
        <v>8428.0</v>
      </c>
      <c r="C39" s="1">
        <v>10517.0</v>
      </c>
      <c r="D39" s="1">
        <v>17079.0</v>
      </c>
      <c r="E39" s="1">
        <v>25999.0</v>
      </c>
      <c r="F39" s="1">
        <v>39674.0</v>
      </c>
      <c r="G39" s="1">
        <v>54099.0</v>
      </c>
      <c r="H39" s="1">
        <v>68684.0</v>
      </c>
      <c r="I39" s="4">
        <f t="shared" si="1"/>
        <v>7.149501661</v>
      </c>
      <c r="J39" s="5" t="str">
        <f t="shared" si="2"/>
        <v>Small</v>
      </c>
    </row>
    <row r="40">
      <c r="A40" s="1" t="s">
        <v>41</v>
      </c>
      <c r="B40" s="1">
        <v>1702346.0</v>
      </c>
      <c r="C40" s="1">
        <v>2097505.0</v>
      </c>
      <c r="D40" s="1">
        <v>2450535.0</v>
      </c>
      <c r="E40" s="1">
        <v>2871910.0</v>
      </c>
      <c r="F40" s="1">
        <v>3833416.0</v>
      </c>
      <c r="G40" s="1">
        <v>4492995.0</v>
      </c>
      <c r="H40" s="1">
        <v>5026628.0</v>
      </c>
      <c r="I40" s="4">
        <f t="shared" si="1"/>
        <v>1.952765184</v>
      </c>
      <c r="J40" s="5" t="str">
        <f t="shared" si="2"/>
        <v>Medium</v>
      </c>
    </row>
    <row r="41">
      <c r="A41" s="1" t="s">
        <v>42</v>
      </c>
      <c r="B41" s="1">
        <v>9.1401309E7</v>
      </c>
      <c r="C41" s="1">
        <v>9.9134548E7</v>
      </c>
      <c r="D41" s="1">
        <v>1.06541316E8</v>
      </c>
      <c r="E41" s="1">
        <v>1.10743128E8</v>
      </c>
      <c r="F41" s="1">
        <v>1.08447824E8</v>
      </c>
      <c r="G41" s="1">
        <v>1.04421447E8</v>
      </c>
      <c r="H41" s="1">
        <v>1.01215763E8</v>
      </c>
      <c r="I41" s="4">
        <f t="shared" si="1"/>
        <v>0.1073776088</v>
      </c>
      <c r="J41" s="5" t="str">
        <f t="shared" si="2"/>
        <v>Large</v>
      </c>
    </row>
    <row r="42">
      <c r="A42" s="1" t="s">
        <v>43</v>
      </c>
      <c r="B42" s="1">
        <v>3049838.0</v>
      </c>
      <c r="C42" s="1">
        <v>3727828.0</v>
      </c>
      <c r="D42" s="1">
        <v>4515453.0</v>
      </c>
      <c r="E42" s="1">
        <v>5982833.0</v>
      </c>
      <c r="F42" s="1">
        <v>8512093.0</v>
      </c>
      <c r="G42" s="1">
        <v>1.2312575E7</v>
      </c>
      <c r="H42" s="1">
        <v>1.7224679E7</v>
      </c>
      <c r="I42" s="4">
        <f t="shared" si="1"/>
        <v>4.647735716</v>
      </c>
      <c r="J42" s="5" t="str">
        <f t="shared" si="2"/>
        <v>Large</v>
      </c>
    </row>
    <row r="43">
      <c r="A43" s="1" t="s">
        <v>44</v>
      </c>
      <c r="B43" s="1">
        <v>110808.0</v>
      </c>
      <c r="C43" s="1">
        <v>123288.0</v>
      </c>
      <c r="D43" s="1">
        <v>130462.0</v>
      </c>
      <c r="E43" s="1">
        <v>143087.0</v>
      </c>
      <c r="F43" s="1">
        <v>148110.0</v>
      </c>
      <c r="G43" s="1">
        <v>158621.0</v>
      </c>
      <c r="H43" s="1">
        <v>166235.0</v>
      </c>
      <c r="I43" s="4">
        <f t="shared" si="1"/>
        <v>0.5002075662</v>
      </c>
      <c r="J43" s="5" t="str">
        <f t="shared" si="2"/>
        <v>Small</v>
      </c>
    </row>
    <row r="44">
      <c r="A44" s="1" t="s">
        <v>45</v>
      </c>
      <c r="B44" s="1">
        <v>8153350.0</v>
      </c>
      <c r="C44" s="1">
        <v>9845344.0</v>
      </c>
      <c r="D44" s="1">
        <v>1.150855E7</v>
      </c>
      <c r="E44" s="1">
        <v>1.3437176E7</v>
      </c>
      <c r="F44" s="1">
        <v>1.5503635E7</v>
      </c>
      <c r="G44" s="1">
        <v>1.7181464E7</v>
      </c>
      <c r="H44" s="1">
        <v>1.9370624E7</v>
      </c>
      <c r="I44" s="4">
        <f t="shared" si="1"/>
        <v>1.37578713</v>
      </c>
      <c r="J44" s="5" t="str">
        <f t="shared" si="2"/>
        <v>Large</v>
      </c>
    </row>
    <row r="45">
      <c r="A45" s="1" t="s">
        <v>46</v>
      </c>
      <c r="B45" s="1">
        <v>6.6707E8</v>
      </c>
      <c r="C45" s="1">
        <v>8.18315E8</v>
      </c>
      <c r="D45" s="1">
        <v>9.81235E8</v>
      </c>
      <c r="E45" s="1">
        <v>1.135185E9</v>
      </c>
      <c r="F45" s="1">
        <v>1.262645E9</v>
      </c>
      <c r="G45" s="1">
        <v>1.337705E9</v>
      </c>
      <c r="H45" s="1">
        <v>1.4111E9</v>
      </c>
      <c r="I45" s="4">
        <f t="shared" si="1"/>
        <v>1.115370201</v>
      </c>
      <c r="J45" s="5" t="str">
        <f t="shared" si="2"/>
        <v>Large</v>
      </c>
    </row>
    <row r="46">
      <c r="A46" s="1" t="s">
        <v>47</v>
      </c>
      <c r="B46" s="1">
        <v>1.5606209E7</v>
      </c>
      <c r="C46" s="1">
        <v>2.0811782E7</v>
      </c>
      <c r="D46" s="1">
        <v>2.6104498E7</v>
      </c>
      <c r="E46" s="1">
        <v>3.2440069E7</v>
      </c>
      <c r="F46" s="1">
        <v>3.9089934E7</v>
      </c>
      <c r="G46" s="1">
        <v>4.4777319E7</v>
      </c>
      <c r="H46" s="1">
        <v>5.0629997E7</v>
      </c>
      <c r="I46" s="4">
        <f t="shared" si="1"/>
        <v>2.244221387</v>
      </c>
      <c r="J46" s="5" t="str">
        <f t="shared" si="2"/>
        <v>Large</v>
      </c>
    </row>
    <row r="47">
      <c r="A47" s="1" t="s">
        <v>48</v>
      </c>
      <c r="B47" s="1">
        <v>197700.0</v>
      </c>
      <c r="C47" s="1">
        <v>244185.0</v>
      </c>
      <c r="D47" s="1">
        <v>337721.0</v>
      </c>
      <c r="E47" s="1">
        <v>444596.0</v>
      </c>
      <c r="F47" s="1">
        <v>536080.0</v>
      </c>
      <c r="G47" s="1">
        <v>654836.0</v>
      </c>
      <c r="H47" s="1">
        <v>802163.0</v>
      </c>
      <c r="I47" s="4">
        <f t="shared" si="1"/>
        <v>3.057475974</v>
      </c>
      <c r="J47" s="5" t="str">
        <f t="shared" si="2"/>
        <v>Small</v>
      </c>
    </row>
    <row r="48">
      <c r="A48" s="1" t="s">
        <v>49</v>
      </c>
      <c r="B48" s="1">
        <v>1.5264846E7</v>
      </c>
      <c r="C48" s="1">
        <v>2.0137436E7</v>
      </c>
      <c r="D48" s="1">
        <v>2.6711099E7</v>
      </c>
      <c r="E48" s="1">
        <v>3.6684063E7</v>
      </c>
      <c r="F48" s="1">
        <v>5.0507442E7</v>
      </c>
      <c r="G48" s="1">
        <v>6.8563038E7</v>
      </c>
      <c r="H48" s="1">
        <v>9.5989998E7</v>
      </c>
      <c r="I48" s="4">
        <f t="shared" si="1"/>
        <v>5.288304383</v>
      </c>
      <c r="J48" s="5" t="str">
        <f t="shared" si="2"/>
        <v>Large</v>
      </c>
    </row>
    <row r="49">
      <c r="A49" s="1" t="s">
        <v>50</v>
      </c>
      <c r="B49" s="1">
        <v>1056732.0</v>
      </c>
      <c r="C49" s="1">
        <v>1397638.0</v>
      </c>
      <c r="D49" s="1">
        <v>1828985.0</v>
      </c>
      <c r="E49" s="1">
        <v>2380560.0</v>
      </c>
      <c r="F49" s="1">
        <v>3151345.0</v>
      </c>
      <c r="G49" s="1">
        <v>4462290.0</v>
      </c>
      <c r="H49" s="1">
        <v>5752791.0</v>
      </c>
      <c r="I49" s="4">
        <f t="shared" si="1"/>
        <v>4.443945106</v>
      </c>
      <c r="J49" s="5" t="str">
        <f t="shared" si="2"/>
        <v>Medium</v>
      </c>
    </row>
    <row r="50">
      <c r="A50" s="1" t="s">
        <v>51</v>
      </c>
      <c r="B50" s="1">
        <v>1327496.0</v>
      </c>
      <c r="C50" s="1">
        <v>1838949.0</v>
      </c>
      <c r="D50" s="1">
        <v>2390633.0</v>
      </c>
      <c r="E50" s="1">
        <v>3121706.0</v>
      </c>
      <c r="F50" s="1">
        <v>3937739.0</v>
      </c>
      <c r="G50" s="1">
        <v>4555962.0</v>
      </c>
      <c r="H50" s="1">
        <v>5034320.0</v>
      </c>
      <c r="I50" s="4">
        <f t="shared" si="1"/>
        <v>2.792342877</v>
      </c>
      <c r="J50" s="5" t="str">
        <f t="shared" si="2"/>
        <v>Medium</v>
      </c>
    </row>
    <row r="51">
      <c r="A51" s="1" t="s">
        <v>52</v>
      </c>
      <c r="B51" s="1">
        <v>3673666.0</v>
      </c>
      <c r="C51" s="1">
        <v>5411567.0</v>
      </c>
      <c r="D51" s="1">
        <v>8220714.0</v>
      </c>
      <c r="E51" s="1">
        <v>1.2189778E7</v>
      </c>
      <c r="F51" s="1">
        <v>1.7699004E7</v>
      </c>
      <c r="G51" s="1">
        <v>2.2488065E7</v>
      </c>
      <c r="H51" s="1">
        <v>2.8915449E7</v>
      </c>
      <c r="I51" s="4">
        <f t="shared" si="1"/>
        <v>6.87100651</v>
      </c>
      <c r="J51" s="5" t="str">
        <f t="shared" si="2"/>
        <v>Large</v>
      </c>
    </row>
    <row r="52">
      <c r="A52" s="1" t="s">
        <v>53</v>
      </c>
      <c r="B52" s="1">
        <v>4140181.0</v>
      </c>
      <c r="C52" s="1">
        <v>4412252.0</v>
      </c>
      <c r="D52" s="1">
        <v>4599782.0</v>
      </c>
      <c r="E52" s="1">
        <v>4777368.0</v>
      </c>
      <c r="F52" s="1">
        <v>4468302.0</v>
      </c>
      <c r="G52" s="1">
        <v>4295427.0</v>
      </c>
      <c r="H52" s="1">
        <v>3914206.0</v>
      </c>
      <c r="I52" s="4">
        <f t="shared" si="1"/>
        <v>-0.05458094706</v>
      </c>
      <c r="J52" s="5" t="str">
        <f t="shared" si="2"/>
        <v>Medium</v>
      </c>
    </row>
    <row r="53">
      <c r="A53" s="1" t="s">
        <v>54</v>
      </c>
      <c r="B53" s="1">
        <v>7238081.0</v>
      </c>
      <c r="C53" s="1">
        <v>8824382.0</v>
      </c>
      <c r="D53" s="1">
        <v>9804796.0</v>
      </c>
      <c r="E53" s="1">
        <v>1.0631799E7</v>
      </c>
      <c r="F53" s="1">
        <v>1.1109109E7</v>
      </c>
      <c r="G53" s="1">
        <v>1.1297409E7</v>
      </c>
      <c r="H53" s="1">
        <v>1.1176354E7</v>
      </c>
      <c r="I53" s="4">
        <f t="shared" si="1"/>
        <v>0.5441045769</v>
      </c>
      <c r="J53" s="5" t="str">
        <f t="shared" si="2"/>
        <v>Large</v>
      </c>
    </row>
    <row r="54">
      <c r="A54" s="1" t="s">
        <v>55</v>
      </c>
      <c r="B54" s="1">
        <v>124826.0</v>
      </c>
      <c r="C54" s="1">
        <v>144739.0</v>
      </c>
      <c r="D54" s="1">
        <v>148041.0</v>
      </c>
      <c r="E54" s="1">
        <v>145400.0</v>
      </c>
      <c r="F54" s="1">
        <v>133860.0</v>
      </c>
      <c r="G54" s="1">
        <v>148703.0</v>
      </c>
      <c r="H54" s="1">
        <v>155482.0</v>
      </c>
      <c r="I54" s="4">
        <f t="shared" si="1"/>
        <v>0.2455898611</v>
      </c>
      <c r="J54" s="5" t="str">
        <f t="shared" si="2"/>
        <v>Small</v>
      </c>
    </row>
    <row r="55">
      <c r="A55" s="1" t="s">
        <v>56</v>
      </c>
      <c r="B55" s="1">
        <v>586490.0</v>
      </c>
      <c r="C55" s="1">
        <v>647446.0</v>
      </c>
      <c r="D55" s="1">
        <v>683076.0</v>
      </c>
      <c r="E55" s="1">
        <v>788351.0</v>
      </c>
      <c r="F55" s="1">
        <v>947667.0</v>
      </c>
      <c r="G55" s="1">
        <v>1127816.0</v>
      </c>
      <c r="H55" s="1">
        <v>1302247.0</v>
      </c>
      <c r="I55" s="4">
        <f t="shared" si="1"/>
        <v>1.22040785</v>
      </c>
      <c r="J55" s="5" t="str">
        <f t="shared" si="2"/>
        <v>Medium</v>
      </c>
    </row>
    <row r="56">
      <c r="A56" s="1" t="s">
        <v>57</v>
      </c>
      <c r="B56" s="1">
        <v>9602006.0</v>
      </c>
      <c r="C56" s="1">
        <v>9858071.0</v>
      </c>
      <c r="D56" s="1">
        <v>1.0304193E7</v>
      </c>
      <c r="E56" s="1">
        <v>1.0333355E7</v>
      </c>
      <c r="F56" s="1">
        <v>1.0255063E7</v>
      </c>
      <c r="G56" s="1">
        <v>1.047441E7</v>
      </c>
      <c r="H56" s="1">
        <v>1.0697858E7</v>
      </c>
      <c r="I56" s="4">
        <f t="shared" si="1"/>
        <v>0.1141274021</v>
      </c>
      <c r="J56" s="5" t="str">
        <f t="shared" si="2"/>
        <v>Large</v>
      </c>
    </row>
    <row r="57">
      <c r="A57" s="1" t="s">
        <v>58</v>
      </c>
      <c r="B57" s="1">
        <v>4579603.0</v>
      </c>
      <c r="C57" s="1">
        <v>4928757.0</v>
      </c>
      <c r="D57" s="1">
        <v>5123027.0</v>
      </c>
      <c r="E57" s="1">
        <v>5140939.0</v>
      </c>
      <c r="F57" s="1">
        <v>5339616.0</v>
      </c>
      <c r="G57" s="1">
        <v>5547683.0</v>
      </c>
      <c r="H57" s="1">
        <v>5831404.0</v>
      </c>
      <c r="I57" s="4">
        <f t="shared" si="1"/>
        <v>0.2733426893</v>
      </c>
      <c r="J57" s="5" t="str">
        <f t="shared" si="2"/>
        <v>Medium</v>
      </c>
    </row>
    <row r="58">
      <c r="A58" s="1" t="s">
        <v>59</v>
      </c>
      <c r="B58" s="1">
        <v>86024.0</v>
      </c>
      <c r="C58" s="1">
        <v>145175.0</v>
      </c>
      <c r="D58" s="1">
        <v>325815.0</v>
      </c>
      <c r="E58" s="1">
        <v>579538.0</v>
      </c>
      <c r="F58" s="1">
        <v>747318.0</v>
      </c>
      <c r="G58" s="1">
        <v>930251.0</v>
      </c>
      <c r="H58" s="1">
        <v>1105188.0</v>
      </c>
      <c r="I58" s="4">
        <f t="shared" si="1"/>
        <v>11.84743792</v>
      </c>
      <c r="J58" s="5" t="str">
        <f t="shared" si="2"/>
        <v>Medium</v>
      </c>
    </row>
    <row r="59">
      <c r="A59" s="1" t="s">
        <v>60</v>
      </c>
      <c r="B59" s="1">
        <v>59372.0</v>
      </c>
      <c r="C59" s="1">
        <v>68908.0</v>
      </c>
      <c r="D59" s="1">
        <v>73083.0</v>
      </c>
      <c r="E59" s="1">
        <v>69627.0</v>
      </c>
      <c r="F59" s="1">
        <v>68511.0</v>
      </c>
      <c r="G59" s="1">
        <v>68859.0</v>
      </c>
      <c r="H59" s="1">
        <v>67573.0</v>
      </c>
      <c r="I59" s="4">
        <f t="shared" si="1"/>
        <v>0.1381290844</v>
      </c>
      <c r="J59" s="5" t="str">
        <f t="shared" si="2"/>
        <v>Small</v>
      </c>
    </row>
    <row r="60">
      <c r="A60" s="1" t="s">
        <v>61</v>
      </c>
      <c r="B60" s="1">
        <v>3268336.0</v>
      </c>
      <c r="C60" s="1">
        <v>4399290.0</v>
      </c>
      <c r="D60" s="1">
        <v>5729037.0</v>
      </c>
      <c r="E60" s="1">
        <v>7151166.0</v>
      </c>
      <c r="F60" s="1">
        <v>8584190.0</v>
      </c>
      <c r="G60" s="1">
        <v>9820175.0</v>
      </c>
      <c r="H60" s="1">
        <v>1.10083E7</v>
      </c>
      <c r="I60" s="4">
        <f t="shared" si="1"/>
        <v>2.368166553</v>
      </c>
      <c r="J60" s="5" t="str">
        <f t="shared" si="2"/>
        <v>Large</v>
      </c>
    </row>
    <row r="61">
      <c r="A61" s="1" t="s">
        <v>62</v>
      </c>
      <c r="B61" s="1">
        <v>4590891.0</v>
      </c>
      <c r="C61" s="1">
        <v>6155387.0</v>
      </c>
      <c r="D61" s="1">
        <v>8165877.0</v>
      </c>
      <c r="E61" s="1">
        <v>1.0473673E7</v>
      </c>
      <c r="F61" s="1">
        <v>1.2689206E7</v>
      </c>
      <c r="G61" s="1">
        <v>1.5076695E7</v>
      </c>
      <c r="H61" s="1">
        <v>1.7546065E7</v>
      </c>
      <c r="I61" s="4">
        <f t="shared" si="1"/>
        <v>2.821930209</v>
      </c>
      <c r="J61" s="5" t="str">
        <f t="shared" si="2"/>
        <v>Large</v>
      </c>
    </row>
    <row r="62">
      <c r="A62" s="1" t="s">
        <v>63</v>
      </c>
      <c r="B62" s="1">
        <v>2.6896479E7</v>
      </c>
      <c r="C62" s="1">
        <v>3.462399E7</v>
      </c>
      <c r="D62" s="1">
        <v>4.3950413E7</v>
      </c>
      <c r="E62" s="1">
        <v>5.8396618E7</v>
      </c>
      <c r="F62" s="1">
        <v>7.3083284E7</v>
      </c>
      <c r="G62" s="1">
        <v>8.9196072E7</v>
      </c>
      <c r="H62" s="1">
        <v>1.09315124E8</v>
      </c>
      <c r="I62" s="4">
        <f t="shared" si="1"/>
        <v>3.064291241</v>
      </c>
      <c r="J62" s="5" t="str">
        <f t="shared" si="2"/>
        <v>Large</v>
      </c>
    </row>
    <row r="63">
      <c r="A63" s="1" t="s">
        <v>64</v>
      </c>
      <c r="B63" s="1">
        <v>2791459.0</v>
      </c>
      <c r="C63" s="1">
        <v>3668796.0</v>
      </c>
      <c r="D63" s="1">
        <v>4540382.0</v>
      </c>
      <c r="E63" s="1">
        <v>5399726.0</v>
      </c>
      <c r="F63" s="1">
        <v>5943366.0</v>
      </c>
      <c r="G63" s="1">
        <v>6068249.0</v>
      </c>
      <c r="H63" s="1">
        <v>6234673.0</v>
      </c>
      <c r="I63" s="4">
        <f t="shared" si="1"/>
        <v>1.233481846</v>
      </c>
      <c r="J63" s="5" t="str">
        <f t="shared" si="2"/>
        <v>Medium</v>
      </c>
    </row>
    <row r="64">
      <c r="A64" s="1" t="s">
        <v>65</v>
      </c>
      <c r="B64" s="1">
        <v>269807.0</v>
      </c>
      <c r="C64" s="1">
        <v>320803.0</v>
      </c>
      <c r="D64" s="1">
        <v>288644.0</v>
      </c>
      <c r="E64" s="1">
        <v>474274.0</v>
      </c>
      <c r="F64" s="1">
        <v>703279.0</v>
      </c>
      <c r="G64" s="1">
        <v>1189085.0</v>
      </c>
      <c r="H64" s="1">
        <v>1716468.0</v>
      </c>
      <c r="I64" s="4">
        <f t="shared" si="1"/>
        <v>5.361836424</v>
      </c>
      <c r="J64" s="5" t="str">
        <f t="shared" si="2"/>
        <v>Medium</v>
      </c>
    </row>
    <row r="65">
      <c r="A65" s="1" t="s">
        <v>66</v>
      </c>
      <c r="B65" s="1">
        <v>972547.0</v>
      </c>
      <c r="C65" s="1">
        <v>1243453.0</v>
      </c>
      <c r="D65" s="1">
        <v>1605797.0</v>
      </c>
      <c r="E65" s="1">
        <v>2032737.0</v>
      </c>
      <c r="F65" s="1">
        <v>2247031.0</v>
      </c>
      <c r="G65" s="1">
        <v>2945186.0</v>
      </c>
      <c r="H65" s="1">
        <v>3291271.0</v>
      </c>
      <c r="I65" s="4">
        <f t="shared" si="1"/>
        <v>2.384176806</v>
      </c>
      <c r="J65" s="5" t="str">
        <f t="shared" si="2"/>
        <v>Medium</v>
      </c>
    </row>
    <row r="66">
      <c r="A66" s="1" t="s">
        <v>67</v>
      </c>
      <c r="B66" s="1">
        <v>1211537.0</v>
      </c>
      <c r="C66" s="1">
        <v>1360076.0</v>
      </c>
      <c r="D66" s="1">
        <v>1477219.0</v>
      </c>
      <c r="E66" s="1">
        <v>1569174.0</v>
      </c>
      <c r="F66" s="1">
        <v>1396985.0</v>
      </c>
      <c r="G66" s="1">
        <v>1331475.0</v>
      </c>
      <c r="H66" s="1">
        <v>1329522.0</v>
      </c>
      <c r="I66" s="4">
        <f t="shared" si="1"/>
        <v>0.09738456192</v>
      </c>
      <c r="J66" s="5" t="str">
        <f t="shared" si="2"/>
        <v>Medium</v>
      </c>
    </row>
    <row r="67">
      <c r="A67" s="1" t="s">
        <v>68</v>
      </c>
      <c r="B67" s="1">
        <v>345337.0</v>
      </c>
      <c r="C67" s="1">
        <v>441216.0</v>
      </c>
      <c r="D67" s="1">
        <v>596644.0</v>
      </c>
      <c r="E67" s="1">
        <v>872428.0</v>
      </c>
      <c r="F67" s="1">
        <v>1041414.0</v>
      </c>
      <c r="G67" s="1">
        <v>1111650.0</v>
      </c>
      <c r="H67" s="1">
        <v>1192729.0</v>
      </c>
      <c r="I67" s="4">
        <f t="shared" si="1"/>
        <v>2.453811784</v>
      </c>
      <c r="J67" s="5" t="str">
        <f t="shared" si="2"/>
        <v>Medium</v>
      </c>
    </row>
    <row r="68">
      <c r="A68" s="1" t="s">
        <v>69</v>
      </c>
      <c r="B68" s="1">
        <v>2.1376693E7</v>
      </c>
      <c r="C68" s="1">
        <v>2.7829128E7</v>
      </c>
      <c r="D68" s="1">
        <v>3.4428514E7</v>
      </c>
      <c r="E68" s="1">
        <v>4.7609755E7</v>
      </c>
      <c r="F68" s="1">
        <v>6.7411494E7</v>
      </c>
      <c r="G68" s="1">
        <v>9.0538514E7</v>
      </c>
      <c r="H68" s="1">
        <v>1.18917671E8</v>
      </c>
      <c r="I68" s="4">
        <f t="shared" si="1"/>
        <v>4.5629592</v>
      </c>
      <c r="J68" s="5" t="str">
        <f t="shared" si="2"/>
        <v>Large</v>
      </c>
    </row>
    <row r="69">
      <c r="A69" s="1" t="s">
        <v>70</v>
      </c>
      <c r="B69" s="1">
        <v>34127.0</v>
      </c>
      <c r="C69" s="1">
        <v>38269.0</v>
      </c>
      <c r="D69" s="1">
        <v>43072.0</v>
      </c>
      <c r="E69" s="1">
        <v>47740.0</v>
      </c>
      <c r="F69" s="1">
        <v>45754.0</v>
      </c>
      <c r="G69" s="1">
        <v>48657.0</v>
      </c>
      <c r="H69" s="1">
        <v>52565.0</v>
      </c>
      <c r="I69" s="4">
        <f t="shared" si="1"/>
        <v>0.5402760278</v>
      </c>
      <c r="J69" s="5" t="str">
        <f t="shared" si="2"/>
        <v>Small</v>
      </c>
    </row>
    <row r="70">
      <c r="A70" s="1" t="s">
        <v>71</v>
      </c>
      <c r="B70" s="1">
        <v>404887.0</v>
      </c>
      <c r="C70" s="1">
        <v>531188.0</v>
      </c>
      <c r="D70" s="1">
        <v>641975.0</v>
      </c>
      <c r="E70" s="1">
        <v>773316.0</v>
      </c>
      <c r="F70" s="1">
        <v>840909.0</v>
      </c>
      <c r="G70" s="1">
        <v>910419.0</v>
      </c>
      <c r="H70" s="1">
        <v>914963.0</v>
      </c>
      <c r="I70" s="4">
        <f t="shared" si="1"/>
        <v>1.259798413</v>
      </c>
      <c r="J70" s="5" t="str">
        <f t="shared" si="2"/>
        <v>Small</v>
      </c>
    </row>
    <row r="71">
      <c r="A71" s="1" t="s">
        <v>72</v>
      </c>
      <c r="B71" s="1">
        <v>4429634.0</v>
      </c>
      <c r="C71" s="1">
        <v>4606307.0</v>
      </c>
      <c r="D71" s="1">
        <v>4779535.0</v>
      </c>
      <c r="E71" s="1">
        <v>4986431.0</v>
      </c>
      <c r="F71" s="1">
        <v>5176209.0</v>
      </c>
      <c r="G71" s="1">
        <v>5363352.0</v>
      </c>
      <c r="H71" s="1">
        <v>5529543.0</v>
      </c>
      <c r="I71" s="4">
        <f t="shared" si="1"/>
        <v>0.2483069707</v>
      </c>
      <c r="J71" s="5" t="str">
        <f t="shared" si="2"/>
        <v>Medium</v>
      </c>
    </row>
    <row r="72">
      <c r="A72" s="1" t="s">
        <v>73</v>
      </c>
      <c r="B72" s="1">
        <v>4.7412964E7</v>
      </c>
      <c r="C72" s="1">
        <v>5.2007169E7</v>
      </c>
      <c r="D72" s="1">
        <v>5.5274184E7</v>
      </c>
      <c r="E72" s="1">
        <v>5.8261012E7</v>
      </c>
      <c r="F72" s="1">
        <v>6.0918661E7</v>
      </c>
      <c r="G72" s="1">
        <v>6.5026211E7</v>
      </c>
      <c r="H72" s="1">
        <v>6.760111E7</v>
      </c>
      <c r="I72" s="4">
        <f t="shared" si="1"/>
        <v>0.4257937977</v>
      </c>
      <c r="J72" s="5" t="str">
        <f t="shared" si="2"/>
        <v>Large</v>
      </c>
    </row>
    <row r="73">
      <c r="A73" s="1" t="s">
        <v>74</v>
      </c>
      <c r="B73" s="1">
        <v>83671.0</v>
      </c>
      <c r="C73" s="1">
        <v>114010.0</v>
      </c>
      <c r="D73" s="1">
        <v>156471.0</v>
      </c>
      <c r="E73" s="1">
        <v>203776.0</v>
      </c>
      <c r="F73" s="1">
        <v>240337.0</v>
      </c>
      <c r="G73" s="1">
        <v>270580.0</v>
      </c>
      <c r="H73" s="1">
        <v>279209.0</v>
      </c>
      <c r="I73" s="4">
        <f t="shared" si="1"/>
        <v>2.336986531</v>
      </c>
      <c r="J73" s="5" t="str">
        <f t="shared" si="2"/>
        <v>Small</v>
      </c>
    </row>
    <row r="74">
      <c r="A74" s="1" t="s">
        <v>75</v>
      </c>
      <c r="B74" s="1">
        <v>512316.0</v>
      </c>
      <c r="C74" s="1">
        <v>595846.0</v>
      </c>
      <c r="D74" s="1">
        <v>748389.0</v>
      </c>
      <c r="E74" s="1">
        <v>983734.0</v>
      </c>
      <c r="F74" s="1">
        <v>1275572.0</v>
      </c>
      <c r="G74" s="1">
        <v>1719879.0</v>
      </c>
      <c r="H74" s="1">
        <v>2322539.0</v>
      </c>
      <c r="I74" s="4">
        <f t="shared" si="1"/>
        <v>3.53341102</v>
      </c>
      <c r="J74" s="5" t="str">
        <f t="shared" si="2"/>
        <v>Medium</v>
      </c>
    </row>
    <row r="75">
      <c r="A75" s="1" t="s">
        <v>76</v>
      </c>
      <c r="B75" s="1">
        <v>398060.0</v>
      </c>
      <c r="C75" s="1">
        <v>524105.0</v>
      </c>
      <c r="D75" s="1">
        <v>713913.0</v>
      </c>
      <c r="E75" s="1">
        <v>1054696.0</v>
      </c>
      <c r="F75" s="1">
        <v>1455084.0</v>
      </c>
      <c r="G75" s="1">
        <v>1926630.0</v>
      </c>
      <c r="H75" s="1">
        <v>2515733.0</v>
      </c>
      <c r="I75" s="4">
        <f t="shared" si="1"/>
        <v>5.319984424</v>
      </c>
      <c r="J75" s="5" t="str">
        <f t="shared" si="2"/>
        <v>Medium</v>
      </c>
    </row>
    <row r="76">
      <c r="A76" s="1" t="s">
        <v>77</v>
      </c>
      <c r="B76" s="1">
        <v>3645600.0</v>
      </c>
      <c r="C76" s="1">
        <v>4119900.0</v>
      </c>
      <c r="D76" s="1">
        <v>4467700.0</v>
      </c>
      <c r="E76" s="1">
        <v>4802000.0</v>
      </c>
      <c r="F76" s="1">
        <v>4077131.0</v>
      </c>
      <c r="G76" s="1">
        <v>3786695.0</v>
      </c>
      <c r="H76" s="1">
        <v>3722716.0</v>
      </c>
      <c r="I76" s="4">
        <f t="shared" si="1"/>
        <v>0.02115317095</v>
      </c>
      <c r="J76" s="5" t="str">
        <f t="shared" si="2"/>
        <v>Medium</v>
      </c>
    </row>
    <row r="77">
      <c r="A77" s="1" t="s">
        <v>78</v>
      </c>
      <c r="B77" s="1">
        <v>7.28149E7</v>
      </c>
      <c r="C77" s="1">
        <v>7.8169289E7</v>
      </c>
      <c r="D77" s="1">
        <v>7.8288576E7</v>
      </c>
      <c r="E77" s="1">
        <v>7.9433029E7</v>
      </c>
      <c r="F77" s="1">
        <v>8.2211508E7</v>
      </c>
      <c r="G77" s="1">
        <v>8.177693E7</v>
      </c>
      <c r="H77" s="1">
        <v>8.3160871E7</v>
      </c>
      <c r="I77" s="4">
        <f t="shared" si="1"/>
        <v>0.1420859055</v>
      </c>
      <c r="J77" s="5" t="str">
        <f t="shared" si="2"/>
        <v>Large</v>
      </c>
    </row>
    <row r="78">
      <c r="A78" s="1" t="s">
        <v>79</v>
      </c>
      <c r="B78" s="1">
        <v>6961215.0</v>
      </c>
      <c r="C78" s="1">
        <v>8925813.0</v>
      </c>
      <c r="D78" s="1">
        <v>1.1941448E7</v>
      </c>
      <c r="E78" s="1">
        <v>1.5394648E7</v>
      </c>
      <c r="F78" s="1">
        <v>1.9637087E7</v>
      </c>
      <c r="G78" s="1">
        <v>2.5474995E7</v>
      </c>
      <c r="H78" s="1">
        <v>3.1887809E7</v>
      </c>
      <c r="I78" s="4">
        <f t="shared" si="1"/>
        <v>3.58078209</v>
      </c>
      <c r="J78" s="5" t="str">
        <f t="shared" si="2"/>
        <v>Large</v>
      </c>
    </row>
    <row r="79">
      <c r="A79" s="1" t="s">
        <v>80</v>
      </c>
      <c r="B79" s="1">
        <v>21839.0</v>
      </c>
      <c r="C79" s="1">
        <v>26634.0</v>
      </c>
      <c r="D79" s="1">
        <v>28675.0</v>
      </c>
      <c r="E79" s="1">
        <v>27200.0</v>
      </c>
      <c r="F79" s="1">
        <v>27709.0</v>
      </c>
      <c r="G79" s="1">
        <v>31248.0</v>
      </c>
      <c r="H79" s="1">
        <v>36173.0</v>
      </c>
      <c r="I79" s="4">
        <f t="shared" si="1"/>
        <v>0.6563487339</v>
      </c>
      <c r="J79" s="5" t="str">
        <f t="shared" si="2"/>
        <v>Small</v>
      </c>
    </row>
    <row r="80">
      <c r="A80" s="1" t="s">
        <v>81</v>
      </c>
      <c r="B80" s="1">
        <v>8331725.0</v>
      </c>
      <c r="C80" s="1">
        <v>8792806.0</v>
      </c>
      <c r="D80" s="1">
        <v>9642505.0</v>
      </c>
      <c r="E80" s="1">
        <v>1.0196792E7</v>
      </c>
      <c r="F80" s="1">
        <v>1.0805808E7</v>
      </c>
      <c r="G80" s="1">
        <v>1.1121341E7</v>
      </c>
      <c r="H80" s="1">
        <v>1.0698599E7</v>
      </c>
      <c r="I80" s="4">
        <f t="shared" si="1"/>
        <v>0.2840797074</v>
      </c>
      <c r="J80" s="5" t="str">
        <f t="shared" si="2"/>
        <v>Large</v>
      </c>
    </row>
    <row r="81">
      <c r="A81" s="1" t="s">
        <v>82</v>
      </c>
      <c r="B81" s="1">
        <v>32500.0</v>
      </c>
      <c r="C81" s="1">
        <v>46400.0</v>
      </c>
      <c r="D81" s="1">
        <v>50200.0</v>
      </c>
      <c r="E81" s="1">
        <v>55600.0</v>
      </c>
      <c r="F81" s="1">
        <v>56185.0</v>
      </c>
      <c r="G81" s="1">
        <v>56534.0</v>
      </c>
      <c r="H81" s="1">
        <v>56367.0</v>
      </c>
      <c r="I81" s="4">
        <f t="shared" si="1"/>
        <v>0.7343692308</v>
      </c>
      <c r="J81" s="5" t="str">
        <f t="shared" si="2"/>
        <v>Small</v>
      </c>
    </row>
    <row r="82">
      <c r="A82" s="1" t="s">
        <v>83</v>
      </c>
      <c r="B82" s="1">
        <v>94058.0</v>
      </c>
      <c r="C82" s="1">
        <v>98414.0</v>
      </c>
      <c r="D82" s="1">
        <v>94538.0</v>
      </c>
      <c r="E82" s="1">
        <v>99957.0</v>
      </c>
      <c r="F82" s="1">
        <v>107451.0</v>
      </c>
      <c r="G82" s="1">
        <v>111586.0</v>
      </c>
      <c r="H82" s="1">
        <v>116341.0</v>
      </c>
      <c r="I82" s="4">
        <f t="shared" si="1"/>
        <v>0.2369070148</v>
      </c>
      <c r="J82" s="5" t="str">
        <f t="shared" si="2"/>
        <v>Small</v>
      </c>
    </row>
    <row r="83">
      <c r="A83" s="1" t="s">
        <v>84</v>
      </c>
      <c r="B83" s="1">
        <v>69525.0</v>
      </c>
      <c r="C83" s="1">
        <v>88365.0</v>
      </c>
      <c r="D83" s="1">
        <v>110141.0</v>
      </c>
      <c r="E83" s="1">
        <v>138610.0</v>
      </c>
      <c r="F83" s="1">
        <v>160065.0</v>
      </c>
      <c r="G83" s="1">
        <v>166522.0</v>
      </c>
      <c r="H83" s="1">
        <v>162158.0</v>
      </c>
      <c r="I83" s="4">
        <f t="shared" si="1"/>
        <v>1.332369651</v>
      </c>
      <c r="J83" s="5" t="str">
        <f t="shared" si="2"/>
        <v>Small</v>
      </c>
    </row>
    <row r="84">
      <c r="A84" s="1" t="s">
        <v>85</v>
      </c>
      <c r="B84" s="1">
        <v>4063655.0</v>
      </c>
      <c r="C84" s="1">
        <v>5396966.0</v>
      </c>
      <c r="D84" s="1">
        <v>6900212.0</v>
      </c>
      <c r="E84" s="1">
        <v>9024773.0</v>
      </c>
      <c r="F84" s="1">
        <v>1.1697592E7</v>
      </c>
      <c r="G84" s="1">
        <v>1.4500112E7</v>
      </c>
      <c r="H84" s="1">
        <v>1.7357325E7</v>
      </c>
      <c r="I84" s="4">
        <f t="shared" si="1"/>
        <v>3.271357928</v>
      </c>
      <c r="J84" s="5" t="str">
        <f t="shared" si="2"/>
        <v>Large</v>
      </c>
    </row>
    <row r="85">
      <c r="A85" s="1" t="s">
        <v>86</v>
      </c>
      <c r="B85" s="1">
        <v>3556749.0</v>
      </c>
      <c r="C85" s="1">
        <v>4277535.0</v>
      </c>
      <c r="D85" s="1">
        <v>5047419.0</v>
      </c>
      <c r="E85" s="1">
        <v>6434374.0</v>
      </c>
      <c r="F85" s="1">
        <v>8428832.0</v>
      </c>
      <c r="G85" s="1">
        <v>1.0396086E7</v>
      </c>
      <c r="H85" s="1">
        <v>1.3371183E7</v>
      </c>
      <c r="I85" s="4">
        <f t="shared" si="1"/>
        <v>2.759383358</v>
      </c>
      <c r="J85" s="5" t="str">
        <f t="shared" si="2"/>
        <v>Large</v>
      </c>
    </row>
    <row r="86">
      <c r="A86" s="1" t="s">
        <v>87</v>
      </c>
      <c r="B86" s="1">
        <v>577633.0</v>
      </c>
      <c r="C86" s="1">
        <v>584403.0</v>
      </c>
      <c r="D86" s="1">
        <v>829303.0</v>
      </c>
      <c r="E86" s="1">
        <v>973669.0</v>
      </c>
      <c r="F86" s="1">
        <v>1234741.0</v>
      </c>
      <c r="G86" s="1">
        <v>1566347.0</v>
      </c>
      <c r="H86" s="1">
        <v>2013255.0</v>
      </c>
      <c r="I86" s="4">
        <f t="shared" si="1"/>
        <v>2.485353157</v>
      </c>
      <c r="J86" s="5" t="str">
        <f t="shared" si="2"/>
        <v>Medium</v>
      </c>
    </row>
    <row r="87">
      <c r="A87" s="1" t="s">
        <v>88</v>
      </c>
      <c r="B87" s="1">
        <v>569143.0</v>
      </c>
      <c r="C87" s="1">
        <v>702705.0</v>
      </c>
      <c r="D87" s="1">
        <v>774367.0</v>
      </c>
      <c r="E87" s="1">
        <v>749894.0</v>
      </c>
      <c r="F87" s="1">
        <v>764832.0</v>
      </c>
      <c r="G87" s="1">
        <v>749256.0</v>
      </c>
      <c r="H87" s="1">
        <v>807481.0</v>
      </c>
      <c r="I87" s="4">
        <f t="shared" si="1"/>
        <v>0.4187664612</v>
      </c>
      <c r="J87" s="5" t="str">
        <f t="shared" si="2"/>
        <v>Small</v>
      </c>
    </row>
    <row r="88">
      <c r="A88" s="1" t="s">
        <v>89</v>
      </c>
      <c r="B88" s="1">
        <v>3858443.0</v>
      </c>
      <c r="C88" s="1">
        <v>4635124.0</v>
      </c>
      <c r="D88" s="1">
        <v>5614493.0</v>
      </c>
      <c r="E88" s="1">
        <v>6854441.0</v>
      </c>
      <c r="F88" s="1">
        <v>8303151.0</v>
      </c>
      <c r="G88" s="1">
        <v>9803294.0</v>
      </c>
      <c r="H88" s="1">
        <v>1.1243848E7</v>
      </c>
      <c r="I88" s="4">
        <f t="shared" si="1"/>
        <v>1.91408944</v>
      </c>
      <c r="J88" s="5" t="str">
        <f t="shared" si="2"/>
        <v>Large</v>
      </c>
    </row>
    <row r="89">
      <c r="A89" s="1" t="s">
        <v>90</v>
      </c>
      <c r="B89" s="1">
        <v>2062060.0</v>
      </c>
      <c r="C89" s="1">
        <v>2750715.0</v>
      </c>
      <c r="D89" s="1">
        <v>3727173.0</v>
      </c>
      <c r="E89" s="1">
        <v>4980488.0</v>
      </c>
      <c r="F89" s="1">
        <v>6577773.0</v>
      </c>
      <c r="G89" s="1">
        <v>8365878.0</v>
      </c>
      <c r="H89" s="1">
        <v>1.011964E7</v>
      </c>
      <c r="I89" s="4">
        <f t="shared" si="1"/>
        <v>3.907539063</v>
      </c>
      <c r="J89" s="5" t="str">
        <f t="shared" si="2"/>
        <v>Large</v>
      </c>
    </row>
    <row r="90">
      <c r="A90" s="1" t="s">
        <v>91</v>
      </c>
      <c r="B90" s="1">
        <v>3094840.0</v>
      </c>
      <c r="C90" s="1">
        <v>3959000.0</v>
      </c>
      <c r="D90" s="1">
        <v>5063100.0</v>
      </c>
      <c r="E90" s="1">
        <v>5704500.0</v>
      </c>
      <c r="F90" s="1">
        <v>6665000.0</v>
      </c>
      <c r="G90" s="1">
        <v>7024200.0</v>
      </c>
      <c r="H90" s="1">
        <v>7481000.0</v>
      </c>
      <c r="I90" s="4">
        <f t="shared" si="1"/>
        <v>1.417249357</v>
      </c>
      <c r="J90" s="5" t="str">
        <f t="shared" si="2"/>
        <v>Medium</v>
      </c>
    </row>
    <row r="91">
      <c r="A91" s="1" t="s">
        <v>92</v>
      </c>
      <c r="B91" s="1">
        <v>9983512.0</v>
      </c>
      <c r="C91" s="1">
        <v>1.033791E7</v>
      </c>
      <c r="D91" s="1">
        <v>1.0711122E7</v>
      </c>
      <c r="E91" s="1">
        <v>1.0373988E7</v>
      </c>
      <c r="F91" s="1">
        <v>1.0210971E7</v>
      </c>
      <c r="G91" s="1">
        <v>1.0000023E7</v>
      </c>
      <c r="H91" s="1">
        <v>9670419.0</v>
      </c>
      <c r="I91" s="4">
        <f t="shared" si="1"/>
        <v>-0.03136100803</v>
      </c>
      <c r="J91" s="5" t="str">
        <f t="shared" si="2"/>
        <v>Medium</v>
      </c>
    </row>
    <row r="92">
      <c r="A92" s="1" t="s">
        <v>93</v>
      </c>
      <c r="B92" s="1">
        <v>175574.0</v>
      </c>
      <c r="C92" s="1">
        <v>204438.0</v>
      </c>
      <c r="D92" s="1">
        <v>228138.0</v>
      </c>
      <c r="E92" s="1">
        <v>254826.0</v>
      </c>
      <c r="F92" s="1">
        <v>281205.0</v>
      </c>
      <c r="G92" s="1">
        <v>318041.0</v>
      </c>
      <c r="H92" s="1">
        <v>366463.0</v>
      </c>
      <c r="I92" s="4">
        <f t="shared" si="1"/>
        <v>1.087228177</v>
      </c>
      <c r="J92" s="5" t="str">
        <f t="shared" si="2"/>
        <v>Small</v>
      </c>
    </row>
    <row r="93">
      <c r="A93" s="1" t="s">
        <v>94</v>
      </c>
      <c r="B93" s="1">
        <v>4.35990338E8</v>
      </c>
      <c r="C93" s="1">
        <v>5.45864268E8</v>
      </c>
      <c r="D93" s="1">
        <v>6.87354025E8</v>
      </c>
      <c r="E93" s="1">
        <v>8.64972221E8</v>
      </c>
      <c r="F93" s="1">
        <v>1.057922733E9</v>
      </c>
      <c r="G93" s="1">
        <v>1.243481564E9</v>
      </c>
      <c r="H93" s="1">
        <v>1.402617695E9</v>
      </c>
      <c r="I93" s="4">
        <f t="shared" si="1"/>
        <v>2.217084354</v>
      </c>
      <c r="J93" s="5" t="str">
        <f t="shared" si="2"/>
        <v>Large</v>
      </c>
    </row>
    <row r="94">
      <c r="A94" s="1" t="s">
        <v>95</v>
      </c>
      <c r="B94" s="1">
        <v>8.829607E7</v>
      </c>
      <c r="C94" s="1">
        <v>1.15657495E8</v>
      </c>
      <c r="D94" s="1">
        <v>1.4895054E8</v>
      </c>
      <c r="E94" s="1">
        <v>1.83501098E8</v>
      </c>
      <c r="F94" s="1">
        <v>2.1607779E8</v>
      </c>
      <c r="G94" s="1">
        <v>2.46305322E8</v>
      </c>
      <c r="H94" s="1">
        <v>2.74814866E8</v>
      </c>
      <c r="I94" s="4">
        <f t="shared" si="1"/>
        <v>2.112424664</v>
      </c>
      <c r="J94" s="5" t="str">
        <f t="shared" si="2"/>
        <v>Large</v>
      </c>
    </row>
    <row r="95">
      <c r="A95" s="1" t="s">
        <v>96</v>
      </c>
      <c r="B95" s="1">
        <v>2.1470434E7</v>
      </c>
      <c r="C95" s="1">
        <v>2.91451E7</v>
      </c>
      <c r="D95" s="1">
        <v>3.9842324E7</v>
      </c>
      <c r="E95" s="1">
        <v>5.8380092E7</v>
      </c>
      <c r="F95" s="1">
        <v>6.6418659E7</v>
      </c>
      <c r="G95" s="1">
        <v>7.7420842E7</v>
      </c>
      <c r="H95" s="1">
        <v>8.7723443E7</v>
      </c>
      <c r="I95" s="4">
        <f t="shared" si="1"/>
        <v>3.08577875</v>
      </c>
      <c r="J95" s="5" t="str">
        <f t="shared" si="2"/>
        <v>Large</v>
      </c>
    </row>
    <row r="96">
      <c r="A96" s="1" t="s">
        <v>97</v>
      </c>
      <c r="B96" s="1">
        <v>7022052.0</v>
      </c>
      <c r="C96" s="1">
        <v>9735611.0</v>
      </c>
      <c r="D96" s="1">
        <v>1.3591992E7</v>
      </c>
      <c r="E96" s="1">
        <v>1.7581206E7</v>
      </c>
      <c r="F96" s="1">
        <v>2.4424056E7</v>
      </c>
      <c r="G96" s="1">
        <v>3.1045366E7</v>
      </c>
      <c r="H96" s="1">
        <v>4.2116605E7</v>
      </c>
      <c r="I96" s="4">
        <f t="shared" si="1"/>
        <v>4.997763189</v>
      </c>
      <c r="J96" s="5" t="str">
        <f t="shared" si="2"/>
        <v>Large</v>
      </c>
    </row>
    <row r="97">
      <c r="A97" s="1" t="s">
        <v>98</v>
      </c>
      <c r="B97" s="1">
        <v>2828600.0</v>
      </c>
      <c r="C97" s="1">
        <v>2957250.0</v>
      </c>
      <c r="D97" s="1">
        <v>3412800.0</v>
      </c>
      <c r="E97" s="1">
        <v>3513974.0</v>
      </c>
      <c r="F97" s="1">
        <v>3805174.0</v>
      </c>
      <c r="G97" s="1">
        <v>4560155.0</v>
      </c>
      <c r="H97" s="1">
        <v>5039747.0</v>
      </c>
      <c r="I97" s="4">
        <f t="shared" si="1"/>
        <v>0.7817107403</v>
      </c>
      <c r="J97" s="5" t="str">
        <f t="shared" si="2"/>
        <v>Medium</v>
      </c>
    </row>
    <row r="98">
      <c r="A98" s="1" t="s">
        <v>99</v>
      </c>
      <c r="B98" s="1">
        <v>48868.0</v>
      </c>
      <c r="C98" s="1">
        <v>55300.0</v>
      </c>
      <c r="D98" s="1">
        <v>64076.0</v>
      </c>
      <c r="E98" s="1">
        <v>68916.0</v>
      </c>
      <c r="F98" s="1">
        <v>75659.0</v>
      </c>
      <c r="G98" s="1">
        <v>83873.0</v>
      </c>
      <c r="H98" s="1">
        <v>84064.0</v>
      </c>
      <c r="I98" s="4">
        <f t="shared" si="1"/>
        <v>0.7202259147</v>
      </c>
      <c r="J98" s="5" t="str">
        <f t="shared" si="2"/>
        <v>Small</v>
      </c>
    </row>
    <row r="99">
      <c r="A99" s="1" t="s">
        <v>100</v>
      </c>
      <c r="B99" s="1">
        <v>2114020.0</v>
      </c>
      <c r="C99" s="1">
        <v>2974000.0</v>
      </c>
      <c r="D99" s="1">
        <v>3878000.0</v>
      </c>
      <c r="E99" s="1">
        <v>4660000.0</v>
      </c>
      <c r="F99" s="1">
        <v>6289000.0</v>
      </c>
      <c r="G99" s="1">
        <v>7623600.0</v>
      </c>
      <c r="H99" s="1">
        <v>9215100.0</v>
      </c>
      <c r="I99" s="4">
        <f t="shared" si="1"/>
        <v>3.359041069</v>
      </c>
      <c r="J99" s="5" t="str">
        <f t="shared" si="2"/>
        <v>Medium</v>
      </c>
    </row>
    <row r="100">
      <c r="A100" s="1" t="s">
        <v>101</v>
      </c>
      <c r="B100" s="1">
        <v>5.01997E7</v>
      </c>
      <c r="C100" s="1">
        <v>5.382185E7</v>
      </c>
      <c r="D100" s="1">
        <v>5.6433883E7</v>
      </c>
      <c r="E100" s="1">
        <v>5.671924E7</v>
      </c>
      <c r="F100" s="1">
        <v>5.6942108E7</v>
      </c>
      <c r="G100" s="1">
        <v>5.9819407E7</v>
      </c>
      <c r="H100" s="1">
        <v>5.9438851E7</v>
      </c>
      <c r="I100" s="4">
        <f t="shared" si="1"/>
        <v>0.1840479326</v>
      </c>
      <c r="J100" s="5" t="str">
        <f t="shared" si="2"/>
        <v>Large</v>
      </c>
    </row>
    <row r="101">
      <c r="A101" s="1" t="s">
        <v>102</v>
      </c>
      <c r="B101" s="1">
        <v>1650005.0</v>
      </c>
      <c r="C101" s="1">
        <v>1878196.0</v>
      </c>
      <c r="D101" s="1">
        <v>2145658.0</v>
      </c>
      <c r="E101" s="1">
        <v>2379877.0</v>
      </c>
      <c r="F101" s="1">
        <v>2607826.0</v>
      </c>
      <c r="G101" s="1">
        <v>2748568.0</v>
      </c>
      <c r="H101" s="1">
        <v>2830739.0</v>
      </c>
      <c r="I101" s="4">
        <f t="shared" si="1"/>
        <v>0.7155941952</v>
      </c>
      <c r="J101" s="5" t="str">
        <f t="shared" si="2"/>
        <v>Medium</v>
      </c>
    </row>
    <row r="102">
      <c r="A102" s="1" t="s">
        <v>103</v>
      </c>
      <c r="B102" s="1">
        <v>9.3216E7</v>
      </c>
      <c r="C102" s="1">
        <v>1.03403E8</v>
      </c>
      <c r="D102" s="1">
        <v>1.16807E8</v>
      </c>
      <c r="E102" s="1">
        <v>1.23478E8</v>
      </c>
      <c r="F102" s="1">
        <v>1.26843E8</v>
      </c>
      <c r="G102" s="1">
        <v>1.2807E8</v>
      </c>
      <c r="H102" s="1">
        <v>1.26261E8</v>
      </c>
      <c r="I102" s="4">
        <f t="shared" si="1"/>
        <v>0.3544992276</v>
      </c>
      <c r="J102" s="5" t="str">
        <f t="shared" si="2"/>
        <v>Large</v>
      </c>
    </row>
    <row r="103">
      <c r="A103" s="1" t="s">
        <v>104</v>
      </c>
      <c r="B103" s="1">
        <v>853471.0</v>
      </c>
      <c r="C103" s="1">
        <v>1565163.0</v>
      </c>
      <c r="D103" s="1">
        <v>2234186.0</v>
      </c>
      <c r="E103" s="1">
        <v>3621908.0</v>
      </c>
      <c r="F103" s="1">
        <v>5386945.0</v>
      </c>
      <c r="G103" s="1">
        <v>7297043.0</v>
      </c>
      <c r="H103" s="1">
        <v>1.0865228E7</v>
      </c>
      <c r="I103" s="4">
        <f t="shared" si="1"/>
        <v>11.73063525</v>
      </c>
      <c r="J103" s="5" t="str">
        <f t="shared" si="2"/>
        <v>Large</v>
      </c>
    </row>
    <row r="104">
      <c r="A104" s="1" t="s">
        <v>105</v>
      </c>
      <c r="B104" s="1">
        <v>9429981.0</v>
      </c>
      <c r="C104" s="1">
        <v>1.2419057E7</v>
      </c>
      <c r="D104" s="1">
        <v>1.5152949E7</v>
      </c>
      <c r="E104" s="1">
        <v>1.7154054E7</v>
      </c>
      <c r="F104" s="1">
        <v>1.5501103E7</v>
      </c>
      <c r="G104" s="1">
        <v>1.683681E7</v>
      </c>
      <c r="H104" s="1">
        <v>1.9482117E7</v>
      </c>
      <c r="I104" s="4">
        <f t="shared" si="1"/>
        <v>1.065976273</v>
      </c>
      <c r="J104" s="5" t="str">
        <f t="shared" si="2"/>
        <v>Large</v>
      </c>
    </row>
    <row r="105">
      <c r="A105" s="1" t="s">
        <v>106</v>
      </c>
      <c r="B105" s="1">
        <v>7695307.0</v>
      </c>
      <c r="C105" s="1">
        <v>1.1368791E7</v>
      </c>
      <c r="D105" s="1">
        <v>1.6018459E7</v>
      </c>
      <c r="E105" s="1">
        <v>2.2892651E7</v>
      </c>
      <c r="F105" s="1">
        <v>3.064289E7</v>
      </c>
      <c r="G105" s="1">
        <v>4.1598567E7</v>
      </c>
      <c r="H105" s="1">
        <v>5.2217334E7</v>
      </c>
      <c r="I105" s="4">
        <f t="shared" si="1"/>
        <v>5.785607644</v>
      </c>
      <c r="J105" s="5" t="str">
        <f t="shared" si="2"/>
        <v>Large</v>
      </c>
    </row>
    <row r="106">
      <c r="A106" s="1" t="s">
        <v>107</v>
      </c>
      <c r="B106" s="1">
        <v>47157.0</v>
      </c>
      <c r="C106" s="1">
        <v>57510.0</v>
      </c>
      <c r="D106" s="1">
        <v>61148.0</v>
      </c>
      <c r="E106" s="1">
        <v>74855.0</v>
      </c>
      <c r="F106" s="1">
        <v>88613.0</v>
      </c>
      <c r="G106" s="1">
        <v>108704.0</v>
      </c>
      <c r="H106" s="1">
        <v>126099.0</v>
      </c>
      <c r="I106" s="4">
        <f t="shared" si="1"/>
        <v>1.674025065</v>
      </c>
      <c r="J106" s="5" t="str">
        <f t="shared" si="2"/>
        <v>Small</v>
      </c>
    </row>
    <row r="107">
      <c r="A107" s="1" t="s">
        <v>108</v>
      </c>
      <c r="B107" s="1">
        <v>1.1722953E7</v>
      </c>
      <c r="C107" s="1">
        <v>1.5172775E7</v>
      </c>
      <c r="D107" s="1">
        <v>1.8236786E7</v>
      </c>
      <c r="E107" s="1">
        <v>2.1112137E7</v>
      </c>
      <c r="F107" s="1">
        <v>2.366591E7</v>
      </c>
      <c r="G107" s="1">
        <v>2.4987258E7</v>
      </c>
      <c r="H107" s="1">
        <v>2.6136312E7</v>
      </c>
      <c r="I107" s="4">
        <f t="shared" si="1"/>
        <v>1.229499001</v>
      </c>
      <c r="J107" s="5" t="str">
        <f t="shared" si="2"/>
        <v>Large</v>
      </c>
    </row>
    <row r="108">
      <c r="A108" s="1" t="s">
        <v>109</v>
      </c>
      <c r="B108" s="1">
        <v>2.5012374E7</v>
      </c>
      <c r="C108" s="1">
        <v>3.2240827E7</v>
      </c>
      <c r="D108" s="1">
        <v>3.8123775E7</v>
      </c>
      <c r="E108" s="1">
        <v>4.2869283E7</v>
      </c>
      <c r="F108" s="1">
        <v>4.7008111E7</v>
      </c>
      <c r="G108" s="1">
        <v>4.9554112E7</v>
      </c>
      <c r="H108" s="1">
        <v>5.1836239E7</v>
      </c>
      <c r="I108" s="4">
        <f t="shared" si="1"/>
        <v>1.072423793</v>
      </c>
      <c r="J108" s="5" t="str">
        <f t="shared" si="2"/>
        <v>Large</v>
      </c>
    </row>
    <row r="109">
      <c r="A109" s="1" t="s">
        <v>110</v>
      </c>
      <c r="B109" s="1">
        <v>984846.0</v>
      </c>
      <c r="C109" s="1">
        <v>1249555.0</v>
      </c>
      <c r="D109" s="1">
        <v>1604818.0</v>
      </c>
      <c r="E109" s="1">
        <v>1973790.0</v>
      </c>
      <c r="F109" s="1">
        <v>1802493.0</v>
      </c>
      <c r="G109" s="1">
        <v>1788743.0</v>
      </c>
      <c r="H109" s="1">
        <v>1790151.0</v>
      </c>
      <c r="I109" s="4">
        <f t="shared" si="1"/>
        <v>0.8176963708</v>
      </c>
      <c r="J109" s="5" t="str">
        <f t="shared" si="2"/>
        <v>Medium</v>
      </c>
    </row>
    <row r="110">
      <c r="A110" s="1" t="s">
        <v>111</v>
      </c>
      <c r="B110" s="1">
        <v>311060.0</v>
      </c>
      <c r="C110" s="1">
        <v>809114.0</v>
      </c>
      <c r="D110" s="1">
        <v>1504782.0</v>
      </c>
      <c r="E110" s="1">
        <v>1684819.0</v>
      </c>
      <c r="F110" s="1">
        <v>1954709.0</v>
      </c>
      <c r="G110" s="1">
        <v>2943372.0</v>
      </c>
      <c r="H110" s="1">
        <v>4400267.0</v>
      </c>
      <c r="I110" s="4">
        <f t="shared" si="1"/>
        <v>13.14603935</v>
      </c>
      <c r="J110" s="5" t="str">
        <f t="shared" si="2"/>
        <v>Medium</v>
      </c>
    </row>
    <row r="111">
      <c r="A111" s="1" t="s">
        <v>112</v>
      </c>
      <c r="B111" s="1">
        <v>2172300.0</v>
      </c>
      <c r="C111" s="1">
        <v>2959900.0</v>
      </c>
      <c r="D111" s="1">
        <v>3617400.0</v>
      </c>
      <c r="E111" s="1">
        <v>4391236.0</v>
      </c>
      <c r="F111" s="1">
        <v>4898362.0</v>
      </c>
      <c r="G111" s="1">
        <v>5467059.0</v>
      </c>
      <c r="H111" s="1">
        <v>6726596.0</v>
      </c>
      <c r="I111" s="4">
        <f t="shared" si="1"/>
        <v>2.096531787</v>
      </c>
      <c r="J111" s="5" t="str">
        <f t="shared" si="2"/>
        <v>Medium</v>
      </c>
    </row>
    <row r="112">
      <c r="A112" s="1" t="s">
        <v>113</v>
      </c>
      <c r="B112" s="1">
        <v>2120979.0</v>
      </c>
      <c r="C112" s="1">
        <v>2359164.0</v>
      </c>
      <c r="D112" s="1">
        <v>2511701.0</v>
      </c>
      <c r="E112" s="1">
        <v>2663151.0</v>
      </c>
      <c r="F112" s="1">
        <v>2367550.0</v>
      </c>
      <c r="G112" s="1">
        <v>2097555.0</v>
      </c>
      <c r="H112" s="1">
        <v>1900449.0</v>
      </c>
      <c r="I112" s="4">
        <f t="shared" si="1"/>
        <v>-0.1039755698</v>
      </c>
      <c r="J112" s="5" t="str">
        <f t="shared" si="2"/>
        <v>Medium</v>
      </c>
    </row>
    <row r="113">
      <c r="A113" s="1" t="s">
        <v>114</v>
      </c>
      <c r="B113" s="1">
        <v>1794406.0</v>
      </c>
      <c r="C113" s="1">
        <v>2386114.0</v>
      </c>
      <c r="D113" s="1">
        <v>2944763.0</v>
      </c>
      <c r="E113" s="1">
        <v>3595175.0</v>
      </c>
      <c r="F113" s="1">
        <v>4329340.0</v>
      </c>
      <c r="G113" s="1">
        <v>5041288.0</v>
      </c>
      <c r="H113" s="1">
        <v>5702398.0</v>
      </c>
      <c r="I113" s="4">
        <f t="shared" si="1"/>
        <v>2.177875018</v>
      </c>
      <c r="J113" s="5" t="str">
        <f t="shared" si="2"/>
        <v>Medium</v>
      </c>
    </row>
    <row r="114">
      <c r="A114" s="1" t="s">
        <v>115</v>
      </c>
      <c r="B114" s="1">
        <v>736500.0</v>
      </c>
      <c r="C114" s="1">
        <v>1019273.0</v>
      </c>
      <c r="D114" s="1">
        <v>1406521.0</v>
      </c>
      <c r="E114" s="1">
        <v>1809696.0</v>
      </c>
      <c r="F114" s="1">
        <v>2003913.0</v>
      </c>
      <c r="G114" s="1">
        <v>1996251.0</v>
      </c>
      <c r="H114" s="1">
        <v>2235727.0</v>
      </c>
      <c r="I114" s="4">
        <f t="shared" si="1"/>
        <v>2.035610319</v>
      </c>
      <c r="J114" s="5" t="str">
        <f t="shared" si="2"/>
        <v>Medium</v>
      </c>
    </row>
    <row r="115">
      <c r="A115" s="1" t="s">
        <v>116</v>
      </c>
      <c r="B115" s="1">
        <v>1139522.0</v>
      </c>
      <c r="C115" s="1">
        <v>1466676.0</v>
      </c>
      <c r="D115" s="1">
        <v>1929253.0</v>
      </c>
      <c r="E115" s="1">
        <v>2223667.0</v>
      </c>
      <c r="F115" s="1">
        <v>2928117.0</v>
      </c>
      <c r="G115" s="1">
        <v>4058890.0</v>
      </c>
      <c r="H115" s="1">
        <v>5149463.0</v>
      </c>
      <c r="I115" s="4">
        <f t="shared" si="1"/>
        <v>3.518967602</v>
      </c>
      <c r="J115" s="5" t="str">
        <f t="shared" si="2"/>
        <v>Medium</v>
      </c>
    </row>
    <row r="116">
      <c r="A116" s="1" t="s">
        <v>117</v>
      </c>
      <c r="B116" s="1">
        <v>1492890.0</v>
      </c>
      <c r="C116" s="1">
        <v>2082589.0</v>
      </c>
      <c r="D116" s="1">
        <v>3424378.0</v>
      </c>
      <c r="E116" s="1">
        <v>4445239.0</v>
      </c>
      <c r="F116" s="1">
        <v>5305021.0</v>
      </c>
      <c r="G116" s="1">
        <v>6497839.0</v>
      </c>
      <c r="H116" s="1">
        <v>7045399.0</v>
      </c>
      <c r="I116" s="4">
        <f t="shared" si="1"/>
        <v>3.719302159</v>
      </c>
      <c r="J116" s="5" t="str">
        <f t="shared" si="2"/>
        <v>Medium</v>
      </c>
    </row>
    <row r="117">
      <c r="A117" s="1" t="s">
        <v>118</v>
      </c>
      <c r="B117" s="1">
        <v>16451.0</v>
      </c>
      <c r="C117" s="1">
        <v>21140.0</v>
      </c>
      <c r="D117" s="1">
        <v>25512.0</v>
      </c>
      <c r="E117" s="1">
        <v>28742.0</v>
      </c>
      <c r="F117" s="1">
        <v>32645.0</v>
      </c>
      <c r="G117" s="1">
        <v>36022.0</v>
      </c>
      <c r="H117" s="1">
        <v>38901.0</v>
      </c>
      <c r="I117" s="4">
        <f t="shared" si="1"/>
        <v>1.364658683</v>
      </c>
      <c r="J117" s="5" t="str">
        <f t="shared" si="2"/>
        <v>Small</v>
      </c>
    </row>
    <row r="118">
      <c r="A118" s="1" t="s">
        <v>119</v>
      </c>
      <c r="B118" s="1">
        <v>2778550.0</v>
      </c>
      <c r="C118" s="1">
        <v>3139689.0</v>
      </c>
      <c r="D118" s="1">
        <v>3413202.0</v>
      </c>
      <c r="E118" s="1">
        <v>3697838.0</v>
      </c>
      <c r="F118" s="1">
        <v>3499536.0</v>
      </c>
      <c r="G118" s="1">
        <v>3097282.0</v>
      </c>
      <c r="H118" s="1">
        <v>2810369.0</v>
      </c>
      <c r="I118" s="4">
        <f t="shared" si="1"/>
        <v>0.01145165644</v>
      </c>
      <c r="J118" s="5" t="str">
        <f t="shared" si="2"/>
        <v>Medium</v>
      </c>
    </row>
    <row r="119">
      <c r="A119" s="1" t="s">
        <v>120</v>
      </c>
      <c r="B119" s="1">
        <v>313970.0</v>
      </c>
      <c r="C119" s="1">
        <v>339171.0</v>
      </c>
      <c r="D119" s="1">
        <v>364150.0</v>
      </c>
      <c r="E119" s="1">
        <v>381850.0</v>
      </c>
      <c r="F119" s="1">
        <v>436300.0</v>
      </c>
      <c r="G119" s="1">
        <v>506953.0</v>
      </c>
      <c r="H119" s="1">
        <v>630419.0</v>
      </c>
      <c r="I119" s="4">
        <f t="shared" si="1"/>
        <v>1.007895659</v>
      </c>
      <c r="J119" s="5" t="str">
        <f t="shared" si="2"/>
        <v>Small</v>
      </c>
    </row>
    <row r="120">
      <c r="A120" s="1" t="s">
        <v>121</v>
      </c>
      <c r="B120" s="1">
        <v>173315.0</v>
      </c>
      <c r="C120" s="1">
        <v>257396.0</v>
      </c>
      <c r="D120" s="1">
        <v>239650.0</v>
      </c>
      <c r="E120" s="1">
        <v>334950.0</v>
      </c>
      <c r="F120" s="1">
        <v>430600.0</v>
      </c>
      <c r="G120" s="1">
        <v>537000.0</v>
      </c>
      <c r="H120" s="1">
        <v>685400.0</v>
      </c>
      <c r="I120" s="4">
        <f t="shared" si="1"/>
        <v>2.954649049</v>
      </c>
      <c r="J120" s="5" t="str">
        <f t="shared" si="2"/>
        <v>Small</v>
      </c>
    </row>
    <row r="121">
      <c r="A121" s="1" t="s">
        <v>122</v>
      </c>
      <c r="B121" s="1">
        <v>5111029.0</v>
      </c>
      <c r="C121" s="1">
        <v>6672003.0</v>
      </c>
      <c r="D121" s="1">
        <v>9006032.0</v>
      </c>
      <c r="E121" s="1">
        <v>1.2055639E7</v>
      </c>
      <c r="F121" s="1">
        <v>1.6516338E7</v>
      </c>
      <c r="G121" s="1">
        <v>2.218334E7</v>
      </c>
      <c r="H121" s="1">
        <v>2.8953556E7</v>
      </c>
      <c r="I121" s="4">
        <f t="shared" si="1"/>
        <v>4.664917182</v>
      </c>
      <c r="J121" s="5" t="str">
        <f t="shared" si="2"/>
        <v>Large</v>
      </c>
    </row>
    <row r="122">
      <c r="A122" s="1" t="s">
        <v>123</v>
      </c>
      <c r="B122" s="1">
        <v>3628134.0</v>
      </c>
      <c r="C122" s="1">
        <v>4633944.0</v>
      </c>
      <c r="D122" s="1">
        <v>6265529.0</v>
      </c>
      <c r="E122" s="1">
        <v>9545852.0</v>
      </c>
      <c r="F122" s="1">
        <v>1.1315942E7</v>
      </c>
      <c r="G122" s="1">
        <v>1.4826463E7</v>
      </c>
      <c r="H122" s="1">
        <v>1.9533888E7</v>
      </c>
      <c r="I122" s="4">
        <f t="shared" si="1"/>
        <v>4.384004009</v>
      </c>
      <c r="J122" s="5" t="str">
        <f t="shared" si="2"/>
        <v>Large</v>
      </c>
    </row>
    <row r="123">
      <c r="A123" s="1" t="s">
        <v>124</v>
      </c>
      <c r="B123" s="1">
        <v>7956197.0</v>
      </c>
      <c r="C123" s="1">
        <v>1.0178802E7</v>
      </c>
      <c r="D123" s="1">
        <v>1.2983363E7</v>
      </c>
      <c r="E123" s="1">
        <v>1.7833171E7</v>
      </c>
      <c r="F123" s="1">
        <v>2.2967816E7</v>
      </c>
      <c r="G123" s="1">
        <v>2.8655776E7</v>
      </c>
      <c r="H123" s="1">
        <v>3.3889558E7</v>
      </c>
      <c r="I123" s="4">
        <f t="shared" si="1"/>
        <v>3.259517204</v>
      </c>
      <c r="J123" s="5" t="str">
        <f t="shared" si="2"/>
        <v>Large</v>
      </c>
    </row>
    <row r="124">
      <c r="A124" s="1" t="s">
        <v>125</v>
      </c>
      <c r="B124" s="1">
        <v>91189.0</v>
      </c>
      <c r="C124" s="1">
        <v>123219.0</v>
      </c>
      <c r="D124" s="1">
        <v>164835.0</v>
      </c>
      <c r="E124" s="1">
        <v>224762.0</v>
      </c>
      <c r="F124" s="1">
        <v>282019.0</v>
      </c>
      <c r="G124" s="1">
        <v>360792.0</v>
      </c>
      <c r="H124" s="1">
        <v>502118.0</v>
      </c>
      <c r="I124" s="4">
        <f t="shared" si="1"/>
        <v>4.506343967</v>
      </c>
      <c r="J124" s="5" t="str">
        <f t="shared" si="2"/>
        <v>Small</v>
      </c>
    </row>
    <row r="125">
      <c r="A125" s="1" t="s">
        <v>126</v>
      </c>
      <c r="B125" s="1">
        <v>5402550.0</v>
      </c>
      <c r="C125" s="1">
        <v>6276472.0</v>
      </c>
      <c r="D125" s="1">
        <v>7530515.0</v>
      </c>
      <c r="E125" s="1">
        <v>9178830.0</v>
      </c>
      <c r="F125" s="1">
        <v>1.155929E7</v>
      </c>
      <c r="G125" s="1">
        <v>1.5945198E7</v>
      </c>
      <c r="H125" s="1">
        <v>2.1713836E7</v>
      </c>
      <c r="I125" s="4">
        <f t="shared" si="1"/>
        <v>3.019182793</v>
      </c>
      <c r="J125" s="5" t="str">
        <f t="shared" si="2"/>
        <v>Large</v>
      </c>
    </row>
    <row r="126">
      <c r="A126" s="1" t="s">
        <v>127</v>
      </c>
      <c r="B126" s="1">
        <v>326550.0</v>
      </c>
      <c r="C126" s="1">
        <v>302650.0</v>
      </c>
      <c r="D126" s="1">
        <v>316645.0</v>
      </c>
      <c r="E126" s="1">
        <v>354170.0</v>
      </c>
      <c r="F126" s="1">
        <v>390087.0</v>
      </c>
      <c r="G126" s="1">
        <v>414508.0</v>
      </c>
      <c r="H126" s="1">
        <v>515490.0</v>
      </c>
      <c r="I126" s="4">
        <f t="shared" si="1"/>
        <v>0.578594396</v>
      </c>
      <c r="J126" s="5" t="str">
        <f t="shared" si="2"/>
        <v>Small</v>
      </c>
    </row>
    <row r="127">
      <c r="A127" s="1" t="s">
        <v>128</v>
      </c>
      <c r="B127" s="1">
        <v>14703.0</v>
      </c>
      <c r="C127" s="1">
        <v>22530.0</v>
      </c>
      <c r="D127" s="1">
        <v>30774.0</v>
      </c>
      <c r="E127" s="1">
        <v>44629.0</v>
      </c>
      <c r="F127" s="1">
        <v>50706.0</v>
      </c>
      <c r="G127" s="1">
        <v>52044.0</v>
      </c>
      <c r="H127" s="1">
        <v>42706.0</v>
      </c>
      <c r="I127" s="4">
        <f t="shared" si="1"/>
        <v>1.904577297</v>
      </c>
      <c r="J127" s="5" t="str">
        <f t="shared" si="2"/>
        <v>Small</v>
      </c>
    </row>
    <row r="128">
      <c r="A128" s="1" t="s">
        <v>129</v>
      </c>
      <c r="B128" s="1">
        <v>824298.0</v>
      </c>
      <c r="C128" s="1">
        <v>1099806.0</v>
      </c>
      <c r="D128" s="1">
        <v>1474043.0</v>
      </c>
      <c r="E128" s="1">
        <v>1951878.0</v>
      </c>
      <c r="F128" s="1">
        <v>2613441.0</v>
      </c>
      <c r="G128" s="1">
        <v>3390965.0</v>
      </c>
      <c r="H128" s="1">
        <v>4600131.0</v>
      </c>
      <c r="I128" s="4">
        <f t="shared" si="1"/>
        <v>4.580665002</v>
      </c>
      <c r="J128" s="5" t="str">
        <f t="shared" si="2"/>
        <v>Medium</v>
      </c>
    </row>
    <row r="129">
      <c r="A129" s="1" t="s">
        <v>130</v>
      </c>
      <c r="B129" s="1">
        <v>680331.0</v>
      </c>
      <c r="C129" s="1">
        <v>826000.0</v>
      </c>
      <c r="D129" s="1">
        <v>966039.0</v>
      </c>
      <c r="E129" s="1">
        <v>1058775.0</v>
      </c>
      <c r="F129" s="1">
        <v>1186873.0</v>
      </c>
      <c r="G129" s="1">
        <v>1250400.0</v>
      </c>
      <c r="H129" s="1">
        <v>1266014.0</v>
      </c>
      <c r="I129" s="4">
        <f t="shared" si="1"/>
        <v>0.8608794837</v>
      </c>
      <c r="J129" s="5" t="str">
        <f t="shared" si="2"/>
        <v>Medium</v>
      </c>
    </row>
    <row r="130">
      <c r="A130" s="1" t="s">
        <v>131</v>
      </c>
      <c r="B130" s="1">
        <v>3.6724615E7</v>
      </c>
      <c r="C130" s="1">
        <v>5.0814953E7</v>
      </c>
      <c r="D130" s="1">
        <v>6.7300334E7</v>
      </c>
      <c r="E130" s="1">
        <v>8.282017E7</v>
      </c>
      <c r="F130" s="1">
        <v>9.8625552E7</v>
      </c>
      <c r="G130" s="1">
        <v>1.13623895E8</v>
      </c>
      <c r="H130" s="1">
        <v>1.26799054E8</v>
      </c>
      <c r="I130" s="4">
        <f t="shared" si="1"/>
        <v>2.452699341</v>
      </c>
      <c r="J130" s="5" t="str">
        <f t="shared" si="2"/>
        <v>Large</v>
      </c>
    </row>
    <row r="131">
      <c r="A131" s="1" t="s">
        <v>132</v>
      </c>
      <c r="B131" s="1">
        <v>43061.0</v>
      </c>
      <c r="C131" s="1">
        <v>58922.0</v>
      </c>
      <c r="D131" s="1">
        <v>77407.0</v>
      </c>
      <c r="E131" s="1">
        <v>100888.0</v>
      </c>
      <c r="F131" s="1">
        <v>112044.0</v>
      </c>
      <c r="G131" s="1">
        <v>107540.0</v>
      </c>
      <c r="H131" s="1">
        <v>110916.0</v>
      </c>
      <c r="I131" s="4">
        <f t="shared" si="1"/>
        <v>1.575787836</v>
      </c>
      <c r="J131" s="5" t="str">
        <f t="shared" si="2"/>
        <v>Small</v>
      </c>
    </row>
    <row r="132">
      <c r="A132" s="1" t="s">
        <v>133</v>
      </c>
      <c r="B132" s="1">
        <v>2058020.0</v>
      </c>
      <c r="C132" s="1">
        <v>2437590.0</v>
      </c>
      <c r="D132" s="1">
        <v>2708675.0</v>
      </c>
      <c r="E132" s="1">
        <v>2977912.0</v>
      </c>
      <c r="F132" s="1">
        <v>2924668.0</v>
      </c>
      <c r="G132" s="1">
        <v>2862354.0</v>
      </c>
      <c r="H132" s="1">
        <v>2635130.0</v>
      </c>
      <c r="I132" s="4">
        <f t="shared" si="1"/>
        <v>0.2804200154</v>
      </c>
      <c r="J132" s="5" t="str">
        <f t="shared" si="2"/>
        <v>Medium</v>
      </c>
    </row>
    <row r="133">
      <c r="A133" s="1" t="s">
        <v>134</v>
      </c>
      <c r="B133" s="1">
        <v>21808.0</v>
      </c>
      <c r="C133" s="1">
        <v>24229.0</v>
      </c>
      <c r="D133" s="1">
        <v>27122.0</v>
      </c>
      <c r="E133" s="1">
        <v>30358.0</v>
      </c>
      <c r="F133" s="1">
        <v>32455.0</v>
      </c>
      <c r="G133" s="1">
        <v>33163.0</v>
      </c>
      <c r="H133" s="1">
        <v>38050.0</v>
      </c>
      <c r="I133" s="4">
        <f t="shared" si="1"/>
        <v>0.7447725605</v>
      </c>
      <c r="J133" s="5" t="str">
        <f t="shared" si="2"/>
        <v>Small</v>
      </c>
    </row>
    <row r="134">
      <c r="A134" s="1" t="s">
        <v>135</v>
      </c>
      <c r="B134" s="1">
        <v>977595.0</v>
      </c>
      <c r="C134" s="1">
        <v>1295272.0</v>
      </c>
      <c r="D134" s="1">
        <v>1701335.0</v>
      </c>
      <c r="E134" s="1">
        <v>2098710.0</v>
      </c>
      <c r="F134" s="1">
        <v>2388299.0</v>
      </c>
      <c r="G134" s="1">
        <v>2738622.0</v>
      </c>
      <c r="H134" s="1">
        <v>3327204.0</v>
      </c>
      <c r="I134" s="4">
        <f t="shared" si="1"/>
        <v>2.403458487</v>
      </c>
      <c r="J134" s="5" t="str">
        <f t="shared" si="2"/>
        <v>Medium</v>
      </c>
    </row>
    <row r="135">
      <c r="A135" s="1" t="s">
        <v>136</v>
      </c>
      <c r="B135" s="1">
        <v>480579.0</v>
      </c>
      <c r="C135" s="1">
        <v>512407.0</v>
      </c>
      <c r="D135" s="1">
        <v>572608.0</v>
      </c>
      <c r="E135" s="1">
        <v>606372.0</v>
      </c>
      <c r="F135" s="1">
        <v>604950.0</v>
      </c>
      <c r="G135" s="1">
        <v>619428.0</v>
      </c>
      <c r="H135" s="1">
        <v>626590.0</v>
      </c>
      <c r="I135" s="4">
        <f t="shared" si="1"/>
        <v>0.3038230967</v>
      </c>
      <c r="J135" s="5" t="str">
        <f t="shared" si="2"/>
        <v>Small</v>
      </c>
    </row>
    <row r="136">
      <c r="A136" s="1" t="s">
        <v>137</v>
      </c>
      <c r="B136" s="1">
        <v>1.1624933E7</v>
      </c>
      <c r="C136" s="1">
        <v>1.5129449E7</v>
      </c>
      <c r="D136" s="1">
        <v>1.9459943E7</v>
      </c>
      <c r="E136" s="1">
        <v>2.4375551E7</v>
      </c>
      <c r="F136" s="1">
        <v>2.8423435E7</v>
      </c>
      <c r="G136" s="1">
        <v>3.2467016E7</v>
      </c>
      <c r="H136" s="1">
        <v>3.6584208E7</v>
      </c>
      <c r="I136" s="4">
        <f t="shared" si="1"/>
        <v>2.147046783</v>
      </c>
      <c r="J136" s="5" t="str">
        <f t="shared" si="2"/>
        <v>Large</v>
      </c>
    </row>
    <row r="137">
      <c r="A137" s="1" t="s">
        <v>138</v>
      </c>
      <c r="B137" s="1">
        <v>6713695.0</v>
      </c>
      <c r="C137" s="1">
        <v>8250506.0</v>
      </c>
      <c r="D137" s="1">
        <v>1.1336221E7</v>
      </c>
      <c r="E137" s="1">
        <v>1.3094537E7</v>
      </c>
      <c r="F137" s="1">
        <v>1.8129653E7</v>
      </c>
      <c r="G137" s="1">
        <v>2.2999235E7</v>
      </c>
      <c r="H137" s="1">
        <v>3.0783688E7</v>
      </c>
      <c r="I137" s="4">
        <f t="shared" si="1"/>
        <v>3.585207996</v>
      </c>
      <c r="J137" s="5" t="str">
        <f t="shared" si="2"/>
        <v>Large</v>
      </c>
    </row>
    <row r="138">
      <c r="A138" s="1" t="s">
        <v>139</v>
      </c>
      <c r="B138" s="1">
        <v>2.173025E7</v>
      </c>
      <c r="C138" s="1">
        <v>2.7193016E7</v>
      </c>
      <c r="D138" s="1">
        <v>3.3227204E7</v>
      </c>
      <c r="E138" s="1">
        <v>3.9817251E7</v>
      </c>
      <c r="F138" s="1">
        <v>4.5290841E7</v>
      </c>
      <c r="G138" s="1">
        <v>4.9024382E7</v>
      </c>
      <c r="H138" s="1">
        <v>5.3016522E7</v>
      </c>
      <c r="I138" s="4">
        <f t="shared" si="1"/>
        <v>1.439756653</v>
      </c>
      <c r="J138" s="5" t="str">
        <f t="shared" si="2"/>
        <v>Large</v>
      </c>
    </row>
    <row r="139">
      <c r="A139" s="1" t="s">
        <v>140</v>
      </c>
      <c r="B139" s="1">
        <v>591465.0</v>
      </c>
      <c r="C139" s="1">
        <v>757868.0</v>
      </c>
      <c r="D139" s="1">
        <v>981434.0</v>
      </c>
      <c r="E139" s="1">
        <v>1369303.0</v>
      </c>
      <c r="F139" s="1">
        <v>1818647.0</v>
      </c>
      <c r="G139" s="1">
        <v>2109811.0</v>
      </c>
      <c r="H139" s="1">
        <v>2728762.0</v>
      </c>
      <c r="I139" s="4">
        <f t="shared" si="1"/>
        <v>3.613564623</v>
      </c>
      <c r="J139" s="5" t="str">
        <f t="shared" si="2"/>
        <v>Medium</v>
      </c>
    </row>
    <row r="140">
      <c r="A140" s="1" t="s">
        <v>141</v>
      </c>
      <c r="B140" s="1">
        <v>4607.0</v>
      </c>
      <c r="C140" s="1">
        <v>6710.0</v>
      </c>
      <c r="D140" s="1">
        <v>7649.0</v>
      </c>
      <c r="E140" s="1">
        <v>9622.0</v>
      </c>
      <c r="F140" s="1">
        <v>10168.0</v>
      </c>
      <c r="G140" s="1">
        <v>10043.0</v>
      </c>
      <c r="H140" s="1">
        <v>11643.0</v>
      </c>
      <c r="I140" s="4">
        <f t="shared" si="1"/>
        <v>1.527241155</v>
      </c>
      <c r="J140" s="5" t="str">
        <f t="shared" si="2"/>
        <v>Small</v>
      </c>
    </row>
    <row r="141">
      <c r="A141" s="1" t="s">
        <v>142</v>
      </c>
      <c r="B141" s="1">
        <v>1.0123658E7</v>
      </c>
      <c r="C141" s="1">
        <v>1.243619E7</v>
      </c>
      <c r="D141" s="1">
        <v>1.5553105E7</v>
      </c>
      <c r="E141" s="1">
        <v>1.9524573E7</v>
      </c>
      <c r="F141" s="1">
        <v>2.4546509E7</v>
      </c>
      <c r="G141" s="1">
        <v>2.7341952E7</v>
      </c>
      <c r="H141" s="1">
        <v>2.8966574E7</v>
      </c>
      <c r="I141" s="4">
        <f t="shared" si="1"/>
        <v>1.86127544</v>
      </c>
      <c r="J141" s="5" t="str">
        <f t="shared" si="2"/>
        <v>Large</v>
      </c>
    </row>
    <row r="142">
      <c r="A142" s="1" t="s">
        <v>143</v>
      </c>
      <c r="B142" s="1">
        <v>1.1486631E7</v>
      </c>
      <c r="C142" s="1">
        <v>1.3038526E7</v>
      </c>
      <c r="D142" s="1">
        <v>1.41498E7</v>
      </c>
      <c r="E142" s="1">
        <v>1.495151E7</v>
      </c>
      <c r="F142" s="1">
        <v>1.5925513E7</v>
      </c>
      <c r="G142" s="1">
        <v>1.6615394E7</v>
      </c>
      <c r="H142" s="1">
        <v>1.74415E7</v>
      </c>
      <c r="I142" s="4">
        <f t="shared" si="1"/>
        <v>0.5184173671</v>
      </c>
      <c r="J142" s="5" t="str">
        <f t="shared" si="2"/>
        <v>Large</v>
      </c>
    </row>
    <row r="143">
      <c r="A143" s="1" t="s">
        <v>144</v>
      </c>
      <c r="B143" s="1">
        <v>79819.0</v>
      </c>
      <c r="C143" s="1">
        <v>109338.0</v>
      </c>
      <c r="D143" s="1">
        <v>149817.0</v>
      </c>
      <c r="E143" s="1">
        <v>176456.0</v>
      </c>
      <c r="F143" s="1">
        <v>223098.0</v>
      </c>
      <c r="G143" s="1">
        <v>261582.0</v>
      </c>
      <c r="H143" s="1">
        <v>284176.0</v>
      </c>
      <c r="I143" s="4">
        <f t="shared" si="1"/>
        <v>2.560255077</v>
      </c>
      <c r="J143" s="5" t="str">
        <f t="shared" si="2"/>
        <v>Small</v>
      </c>
    </row>
    <row r="144">
      <c r="A144" s="1" t="s">
        <v>145</v>
      </c>
      <c r="B144" s="1">
        <v>2371800.0</v>
      </c>
      <c r="C144" s="1">
        <v>2810700.0</v>
      </c>
      <c r="D144" s="1">
        <v>3112900.0</v>
      </c>
      <c r="E144" s="1">
        <v>3329800.0</v>
      </c>
      <c r="F144" s="1">
        <v>3857700.0</v>
      </c>
      <c r="G144" s="1">
        <v>4350700.0</v>
      </c>
      <c r="H144" s="1">
        <v>5072400.0</v>
      </c>
      <c r="I144" s="4">
        <f t="shared" si="1"/>
        <v>1.138628889</v>
      </c>
      <c r="J144" s="5" t="str">
        <f t="shared" si="2"/>
        <v>Medium</v>
      </c>
    </row>
    <row r="145">
      <c r="A145" s="1" t="s">
        <v>146</v>
      </c>
      <c r="B145" s="1">
        <v>1782370.0</v>
      </c>
      <c r="C145" s="1">
        <v>2423065.0</v>
      </c>
      <c r="D145" s="1">
        <v>3252403.0</v>
      </c>
      <c r="E145" s="1">
        <v>4162559.0</v>
      </c>
      <c r="F145" s="1">
        <v>5022633.0</v>
      </c>
      <c r="G145" s="1">
        <v>5737450.0</v>
      </c>
      <c r="H145" s="1">
        <v>6565267.0</v>
      </c>
      <c r="I145" s="4">
        <f t="shared" si="1"/>
        <v>2.683447881</v>
      </c>
      <c r="J145" s="5" t="str">
        <f t="shared" si="2"/>
        <v>Medium</v>
      </c>
    </row>
    <row r="146">
      <c r="A146" s="1" t="s">
        <v>147</v>
      </c>
      <c r="B146" s="1">
        <v>3505050.0</v>
      </c>
      <c r="C146" s="1">
        <v>4650275.0</v>
      </c>
      <c r="D146" s="1">
        <v>6135971.0</v>
      </c>
      <c r="E146" s="1">
        <v>8286059.0</v>
      </c>
      <c r="F146" s="1">
        <v>1.150963E7</v>
      </c>
      <c r="G146" s="1">
        <v>1.6548835E7</v>
      </c>
      <c r="H146" s="1">
        <v>2.3717613E7</v>
      </c>
      <c r="I146" s="4">
        <f t="shared" si="1"/>
        <v>5.766697479</v>
      </c>
      <c r="J146" s="5" t="str">
        <f t="shared" si="2"/>
        <v>Large</v>
      </c>
    </row>
    <row r="147">
      <c r="A147" s="1" t="s">
        <v>148</v>
      </c>
      <c r="B147" s="1">
        <v>4.5053782E7</v>
      </c>
      <c r="C147" s="1">
        <v>5.5893838E7</v>
      </c>
      <c r="D147" s="1">
        <v>7.3764641E7</v>
      </c>
      <c r="E147" s="1">
        <v>9.7120925E7</v>
      </c>
      <c r="F147" s="1">
        <v>1.26382494E8</v>
      </c>
      <c r="G147" s="1">
        <v>1.66642886E8</v>
      </c>
      <c r="H147" s="1">
        <v>2.13996181E8</v>
      </c>
      <c r="I147" s="4">
        <f t="shared" si="1"/>
        <v>3.749793946</v>
      </c>
      <c r="J147" s="5" t="str">
        <f t="shared" si="2"/>
        <v>Large</v>
      </c>
    </row>
    <row r="148">
      <c r="A148" s="1" t="s">
        <v>149</v>
      </c>
      <c r="B148" s="1">
        <v>1435059.0</v>
      </c>
      <c r="C148" s="1">
        <v>1664208.0</v>
      </c>
      <c r="D148" s="1">
        <v>1933038.0</v>
      </c>
      <c r="E148" s="1">
        <v>2063689.0</v>
      </c>
      <c r="F148" s="1">
        <v>2026350.0</v>
      </c>
      <c r="G148" s="1">
        <v>1946298.0</v>
      </c>
      <c r="H148" s="1">
        <v>1856124.0</v>
      </c>
      <c r="I148" s="4">
        <f t="shared" si="1"/>
        <v>0.2934130234</v>
      </c>
      <c r="J148" s="5" t="str">
        <f t="shared" si="2"/>
        <v>Medium</v>
      </c>
    </row>
    <row r="149">
      <c r="A149" s="1" t="s">
        <v>150</v>
      </c>
      <c r="B149" s="1">
        <v>8736.0</v>
      </c>
      <c r="C149" s="1">
        <v>10170.0</v>
      </c>
      <c r="D149" s="1">
        <v>17625.0</v>
      </c>
      <c r="E149" s="1">
        <v>43342.0</v>
      </c>
      <c r="F149" s="1">
        <v>68356.0</v>
      </c>
      <c r="G149" s="1">
        <v>54091.0</v>
      </c>
      <c r="H149" s="1">
        <v>47528.0</v>
      </c>
      <c r="I149" s="4">
        <f t="shared" si="1"/>
        <v>4.44047619</v>
      </c>
      <c r="J149" s="5" t="str">
        <f t="shared" si="2"/>
        <v>Small</v>
      </c>
    </row>
    <row r="150">
      <c r="A150" s="1" t="s">
        <v>151</v>
      </c>
      <c r="B150" s="1">
        <v>3581239.0</v>
      </c>
      <c r="C150" s="1">
        <v>3875763.0</v>
      </c>
      <c r="D150" s="1">
        <v>4085620.0</v>
      </c>
      <c r="E150" s="1">
        <v>4241473.0</v>
      </c>
      <c r="F150" s="1">
        <v>4490967.0</v>
      </c>
      <c r="G150" s="1">
        <v>4889252.0</v>
      </c>
      <c r="H150" s="1">
        <v>5379475.0</v>
      </c>
      <c r="I150" s="4">
        <f t="shared" si="1"/>
        <v>0.5021267779</v>
      </c>
      <c r="J150" s="5" t="str">
        <f t="shared" si="2"/>
        <v>Medium</v>
      </c>
    </row>
    <row r="151">
      <c r="A151" s="1" t="s">
        <v>152</v>
      </c>
      <c r="B151" s="1">
        <v>530485.0</v>
      </c>
      <c r="C151" s="1">
        <v>662680.0</v>
      </c>
      <c r="D151" s="1">
        <v>1001248.0</v>
      </c>
      <c r="E151" s="1">
        <v>1763954.0</v>
      </c>
      <c r="F151" s="1">
        <v>2282131.0</v>
      </c>
      <c r="G151" s="1">
        <v>2757446.0</v>
      </c>
      <c r="H151" s="1">
        <v>4522497.0</v>
      </c>
      <c r="I151" s="4">
        <f t="shared" si="1"/>
        <v>7.525211834</v>
      </c>
      <c r="J151" s="5" t="str">
        <f t="shared" si="2"/>
        <v>Medium</v>
      </c>
    </row>
    <row r="152">
      <c r="A152" s="1" t="s">
        <v>153</v>
      </c>
      <c r="B152" s="1">
        <v>4.570931E7</v>
      </c>
      <c r="C152" s="1">
        <v>6.0166719E7</v>
      </c>
      <c r="D152" s="1">
        <v>8.229101E7</v>
      </c>
      <c r="E152" s="1">
        <v>1.16155576E8</v>
      </c>
      <c r="F152" s="1">
        <v>1.54879127E8</v>
      </c>
      <c r="G152" s="1">
        <v>1.99239047E8</v>
      </c>
      <c r="H152" s="1">
        <v>2.35001746E8</v>
      </c>
      <c r="I152" s="4">
        <f t="shared" si="1"/>
        <v>4.141222784</v>
      </c>
      <c r="J152" s="5" t="str">
        <f t="shared" si="2"/>
        <v>Large</v>
      </c>
    </row>
    <row r="153">
      <c r="A153" s="1" t="s">
        <v>154</v>
      </c>
      <c r="B153" s="1">
        <v>9328.0</v>
      </c>
      <c r="C153" s="1">
        <v>11368.0</v>
      </c>
      <c r="D153" s="1">
        <v>12271.0</v>
      </c>
      <c r="E153" s="1">
        <v>15259.0</v>
      </c>
      <c r="F153" s="1">
        <v>19178.0</v>
      </c>
      <c r="G153" s="1">
        <v>18396.0</v>
      </c>
      <c r="H153" s="1">
        <v>17792.0</v>
      </c>
      <c r="I153" s="4">
        <f t="shared" si="1"/>
        <v>0.9073756432</v>
      </c>
      <c r="J153" s="5" t="str">
        <f t="shared" si="2"/>
        <v>Small</v>
      </c>
    </row>
    <row r="154">
      <c r="A154" s="1" t="s">
        <v>155</v>
      </c>
      <c r="B154" s="1">
        <v>1126005.0</v>
      </c>
      <c r="C154" s="1">
        <v>1513070.0</v>
      </c>
      <c r="D154" s="1">
        <v>1957534.0</v>
      </c>
      <c r="E154" s="1">
        <v>2455583.0</v>
      </c>
      <c r="F154" s="1">
        <v>3010369.0</v>
      </c>
      <c r="G154" s="1">
        <v>3628535.0</v>
      </c>
      <c r="H154" s="1">
        <v>4293261.0</v>
      </c>
      <c r="I154" s="4">
        <f t="shared" si="1"/>
        <v>2.812825876</v>
      </c>
      <c r="J154" s="5" t="str">
        <f t="shared" si="2"/>
        <v>Medium</v>
      </c>
    </row>
    <row r="155">
      <c r="A155" s="1" t="s">
        <v>156</v>
      </c>
      <c r="B155" s="1">
        <v>1995110.0</v>
      </c>
      <c r="C155" s="1">
        <v>2505628.0</v>
      </c>
      <c r="D155" s="1">
        <v>3131512.0</v>
      </c>
      <c r="E155" s="1">
        <v>3896481.0</v>
      </c>
      <c r="F155" s="1">
        <v>5537064.0</v>
      </c>
      <c r="G155" s="1">
        <v>7633523.0</v>
      </c>
      <c r="H155" s="1">
        <v>9815746.0</v>
      </c>
      <c r="I155" s="4">
        <f t="shared" si="1"/>
        <v>3.919902161</v>
      </c>
      <c r="J155" s="5" t="str">
        <f t="shared" si="2"/>
        <v>Medium</v>
      </c>
    </row>
    <row r="156">
      <c r="A156" s="1" t="s">
        <v>157</v>
      </c>
      <c r="B156" s="1">
        <v>1883514.0</v>
      </c>
      <c r="C156" s="1">
        <v>2388028.0</v>
      </c>
      <c r="D156" s="1">
        <v>3053235.0</v>
      </c>
      <c r="E156" s="1">
        <v>4035747.0</v>
      </c>
      <c r="F156" s="1">
        <v>5100868.0</v>
      </c>
      <c r="G156" s="1">
        <v>5737971.0</v>
      </c>
      <c r="H156" s="1">
        <v>6603739.0</v>
      </c>
      <c r="I156" s="4">
        <f t="shared" si="1"/>
        <v>2.506073754</v>
      </c>
      <c r="J156" s="5" t="str">
        <f t="shared" si="2"/>
        <v>Medium</v>
      </c>
    </row>
    <row r="157">
      <c r="A157" s="1" t="s">
        <v>158</v>
      </c>
      <c r="B157" s="1">
        <v>1.0174127E7</v>
      </c>
      <c r="C157" s="1">
        <v>1.3501237E7</v>
      </c>
      <c r="D157" s="1">
        <v>1.7360949E7</v>
      </c>
      <c r="E157" s="1">
        <v>2.2014771E7</v>
      </c>
      <c r="F157" s="1">
        <v>2.6598331E7</v>
      </c>
      <c r="G157" s="1">
        <v>2.9086019E7</v>
      </c>
      <c r="H157" s="1">
        <v>3.2838579E7</v>
      </c>
      <c r="I157" s="4">
        <f t="shared" si="1"/>
        <v>2.2276557</v>
      </c>
      <c r="J157" s="5" t="str">
        <f t="shared" si="2"/>
        <v>Large</v>
      </c>
    </row>
    <row r="158">
      <c r="A158" s="1" t="s">
        <v>159</v>
      </c>
      <c r="B158" s="1">
        <v>2.7891897E7</v>
      </c>
      <c r="C158" s="1">
        <v>3.7622204E7</v>
      </c>
      <c r="D158" s="1">
        <v>4.804374E7</v>
      </c>
      <c r="E158" s="1">
        <v>6.2854666E7</v>
      </c>
      <c r="F158" s="1">
        <v>7.9625397E7</v>
      </c>
      <c r="G158" s="1">
        <v>9.6337125E7</v>
      </c>
      <c r="H158" s="1">
        <v>1.12081264E8</v>
      </c>
      <c r="I158" s="4">
        <f t="shared" si="1"/>
        <v>3.018416675</v>
      </c>
      <c r="J158" s="5" t="str">
        <f t="shared" si="2"/>
        <v>Large</v>
      </c>
    </row>
    <row r="159">
      <c r="A159" s="1" t="s">
        <v>160</v>
      </c>
      <c r="B159" s="1">
        <v>2.963745E7</v>
      </c>
      <c r="C159" s="1">
        <v>3.26643E7</v>
      </c>
      <c r="D159" s="1">
        <v>3.557415E7</v>
      </c>
      <c r="E159" s="1">
        <v>3.8110782E7</v>
      </c>
      <c r="F159" s="1">
        <v>3.8258629E7</v>
      </c>
      <c r="G159" s="1">
        <v>3.8042794E7</v>
      </c>
      <c r="H159" s="1">
        <v>3.7515748E7</v>
      </c>
      <c r="I159" s="4">
        <f t="shared" si="1"/>
        <v>0.265822397</v>
      </c>
      <c r="J159" s="5" t="str">
        <f t="shared" si="2"/>
        <v>Large</v>
      </c>
    </row>
    <row r="160">
      <c r="A160" s="1" t="s">
        <v>161</v>
      </c>
      <c r="B160" s="1">
        <v>8857716.0</v>
      </c>
      <c r="C160" s="1">
        <v>8680431.0</v>
      </c>
      <c r="D160" s="1">
        <v>9766312.0</v>
      </c>
      <c r="E160" s="1">
        <v>9983218.0</v>
      </c>
      <c r="F160" s="1">
        <v>1.0289898E7</v>
      </c>
      <c r="G160" s="1">
        <v>1.05731E7</v>
      </c>
      <c r="H160" s="1">
        <v>1.0297081E7</v>
      </c>
      <c r="I160" s="4">
        <f t="shared" si="1"/>
        <v>0.1624984364</v>
      </c>
      <c r="J160" s="5" t="str">
        <f t="shared" si="2"/>
        <v>Large</v>
      </c>
    </row>
    <row r="161">
      <c r="A161" s="1" t="s">
        <v>162</v>
      </c>
      <c r="B161" s="1">
        <v>2358000.0</v>
      </c>
      <c r="C161" s="1">
        <v>2718000.0</v>
      </c>
      <c r="D161" s="1">
        <v>3206000.0</v>
      </c>
      <c r="E161" s="1">
        <v>3537000.0</v>
      </c>
      <c r="F161" s="1">
        <v>3810605.0</v>
      </c>
      <c r="G161" s="1">
        <v>3724465.0</v>
      </c>
      <c r="H161" s="1">
        <v>3281590.0</v>
      </c>
      <c r="I161" s="4">
        <f t="shared" si="1"/>
        <v>0.3916836302</v>
      </c>
      <c r="J161" s="5" t="str">
        <f t="shared" si="2"/>
        <v>Medium</v>
      </c>
    </row>
    <row r="162">
      <c r="A162" s="1" t="s">
        <v>163</v>
      </c>
      <c r="B162" s="1">
        <v>36010.0</v>
      </c>
      <c r="C162" s="1">
        <v>116350.0</v>
      </c>
      <c r="D162" s="1">
        <v>275913.0</v>
      </c>
      <c r="E162" s="1">
        <v>440175.0</v>
      </c>
      <c r="F162" s="1">
        <v>644989.0</v>
      </c>
      <c r="G162" s="1">
        <v>1616832.0</v>
      </c>
      <c r="H162" s="1">
        <v>2794148.0</v>
      </c>
      <c r="I162" s="4">
        <f t="shared" si="1"/>
        <v>76.59366843</v>
      </c>
      <c r="J162" s="5" t="str">
        <f t="shared" si="2"/>
        <v>Medium</v>
      </c>
    </row>
    <row r="163">
      <c r="A163" s="1" t="s">
        <v>164</v>
      </c>
      <c r="B163" s="1">
        <v>1.8406905E7</v>
      </c>
      <c r="C163" s="1">
        <v>2.0250398E7</v>
      </c>
      <c r="D163" s="1">
        <v>2.2207282E7</v>
      </c>
      <c r="E163" s="1">
        <v>2.3201835E7</v>
      </c>
      <c r="F163" s="1">
        <v>2.2442971E7</v>
      </c>
      <c r="G163" s="1">
        <v>2.0246871E7</v>
      </c>
      <c r="H163" s="1">
        <v>1.926525E7</v>
      </c>
      <c r="I163" s="4">
        <f t="shared" si="1"/>
        <v>0.04663168523</v>
      </c>
      <c r="J163" s="5" t="str">
        <f t="shared" si="2"/>
        <v>Large</v>
      </c>
    </row>
    <row r="164">
      <c r="A164" s="1" t="s">
        <v>165</v>
      </c>
      <c r="B164" s="1">
        <v>1.19897E8</v>
      </c>
      <c r="C164" s="1">
        <v>1.30404E8</v>
      </c>
      <c r="D164" s="1">
        <v>1.3901E8</v>
      </c>
      <c r="E164" s="1">
        <v>1.47969406E8</v>
      </c>
      <c r="F164" s="1">
        <v>1.46596869E8</v>
      </c>
      <c r="G164" s="1">
        <v>1.42849468E8</v>
      </c>
      <c r="H164" s="1">
        <v>1.45245148E8</v>
      </c>
      <c r="I164" s="4">
        <f t="shared" si="1"/>
        <v>0.2114160321</v>
      </c>
      <c r="J164" s="5" t="str">
        <f t="shared" si="2"/>
        <v>Large</v>
      </c>
    </row>
    <row r="165">
      <c r="A165" s="1" t="s">
        <v>166</v>
      </c>
      <c r="B165" s="1">
        <v>3022294.0</v>
      </c>
      <c r="C165" s="1">
        <v>3980669.0</v>
      </c>
      <c r="D165" s="1">
        <v>5353259.0</v>
      </c>
      <c r="E165" s="1">
        <v>7375307.0</v>
      </c>
      <c r="F165" s="1">
        <v>8213931.0</v>
      </c>
      <c r="G165" s="1">
        <v>1.0317553E7</v>
      </c>
      <c r="H165" s="1">
        <v>1.3065837E7</v>
      </c>
      <c r="I165" s="4">
        <f t="shared" si="1"/>
        <v>3.323152215</v>
      </c>
      <c r="J165" s="5" t="str">
        <f t="shared" si="2"/>
        <v>Large</v>
      </c>
    </row>
    <row r="166">
      <c r="A166" s="1" t="s">
        <v>167</v>
      </c>
      <c r="B166" s="1">
        <v>112490.0</v>
      </c>
      <c r="C166" s="1">
        <v>140400.0</v>
      </c>
      <c r="D166" s="1">
        <v>164322.0</v>
      </c>
      <c r="E166" s="1">
        <v>169042.0</v>
      </c>
      <c r="F166" s="1">
        <v>181685.0</v>
      </c>
      <c r="G166" s="1">
        <v>193023.0</v>
      </c>
      <c r="H166" s="1">
        <v>211944.0</v>
      </c>
      <c r="I166" s="4">
        <f t="shared" si="1"/>
        <v>0.8841141435</v>
      </c>
      <c r="J166" s="5" t="str">
        <f t="shared" si="2"/>
        <v>Small</v>
      </c>
    </row>
    <row r="167">
      <c r="A167" s="1" t="s">
        <v>168</v>
      </c>
      <c r="B167" s="1">
        <v>15428.0</v>
      </c>
      <c r="C167" s="1">
        <v>18168.0</v>
      </c>
      <c r="D167" s="1">
        <v>21585.0</v>
      </c>
      <c r="E167" s="1">
        <v>23475.0</v>
      </c>
      <c r="F167" s="1">
        <v>26799.0</v>
      </c>
      <c r="G167" s="1">
        <v>33270.0</v>
      </c>
      <c r="H167" s="1">
        <v>34770.0</v>
      </c>
      <c r="I167" s="4">
        <f t="shared" si="1"/>
        <v>1.253694581</v>
      </c>
      <c r="J167" s="5" t="str">
        <f t="shared" si="2"/>
        <v>Small</v>
      </c>
    </row>
    <row r="168">
      <c r="A168" s="1" t="s">
        <v>169</v>
      </c>
      <c r="B168" s="1">
        <v>68012.0</v>
      </c>
      <c r="C168" s="1">
        <v>77626.0</v>
      </c>
      <c r="D168" s="1">
        <v>98544.0</v>
      </c>
      <c r="E168" s="1">
        <v>122980.0</v>
      </c>
      <c r="F168" s="1">
        <v>144018.0</v>
      </c>
      <c r="G168" s="1">
        <v>181802.0</v>
      </c>
      <c r="H168" s="1">
        <v>217435.0</v>
      </c>
      <c r="I168" s="4">
        <f t="shared" si="1"/>
        <v>2.197009351</v>
      </c>
      <c r="J168" s="5" t="str">
        <f t="shared" si="2"/>
        <v>Small</v>
      </c>
    </row>
    <row r="169">
      <c r="A169" s="1" t="s">
        <v>170</v>
      </c>
      <c r="B169" s="1">
        <v>3340907.0</v>
      </c>
      <c r="C169" s="1">
        <v>4466328.0</v>
      </c>
      <c r="D169" s="1">
        <v>5845638.0</v>
      </c>
      <c r="E169" s="1">
        <v>7720523.0</v>
      </c>
      <c r="F169" s="1">
        <v>9968260.0</v>
      </c>
      <c r="G169" s="1">
        <v>1.2635413E7</v>
      </c>
      <c r="H169" s="1">
        <v>1.6789219E7</v>
      </c>
      <c r="I169" s="4">
        <f t="shared" si="1"/>
        <v>4.025347608</v>
      </c>
      <c r="J169" s="5" t="str">
        <f t="shared" si="2"/>
        <v>Large</v>
      </c>
    </row>
    <row r="170">
      <c r="A170" s="1" t="s">
        <v>171</v>
      </c>
      <c r="B170" s="1">
        <v>6638992.0</v>
      </c>
      <c r="C170" s="1">
        <v>7164993.0</v>
      </c>
      <c r="D170" s="1">
        <v>7709544.0</v>
      </c>
      <c r="E170" s="1">
        <v>7897937.0</v>
      </c>
      <c r="F170" s="1">
        <v>7516346.0</v>
      </c>
      <c r="G170" s="1">
        <v>7291436.0</v>
      </c>
      <c r="H170" s="1">
        <v>6899126.0</v>
      </c>
      <c r="I170" s="4">
        <f t="shared" si="1"/>
        <v>0.03918275545</v>
      </c>
      <c r="J170" s="5" t="str">
        <f t="shared" si="2"/>
        <v>Medium</v>
      </c>
    </row>
    <row r="171">
      <c r="A171" s="1" t="s">
        <v>172</v>
      </c>
      <c r="B171" s="1">
        <v>41700.0</v>
      </c>
      <c r="C171" s="1">
        <v>53600.0</v>
      </c>
      <c r="D171" s="1">
        <v>63261.0</v>
      </c>
      <c r="E171" s="1">
        <v>69507.0</v>
      </c>
      <c r="F171" s="1">
        <v>81131.0</v>
      </c>
      <c r="G171" s="1">
        <v>89770.0</v>
      </c>
      <c r="H171" s="1">
        <v>98462.0</v>
      </c>
      <c r="I171" s="4">
        <f t="shared" si="1"/>
        <v>1.361199041</v>
      </c>
      <c r="J171" s="5" t="str">
        <f t="shared" si="2"/>
        <v>Small</v>
      </c>
    </row>
    <row r="172">
      <c r="A172" s="1" t="s">
        <v>173</v>
      </c>
      <c r="B172" s="1">
        <v>2268356.0</v>
      </c>
      <c r="C172" s="1">
        <v>2712286.0</v>
      </c>
      <c r="D172" s="1">
        <v>3272089.0</v>
      </c>
      <c r="E172" s="1">
        <v>4196828.0</v>
      </c>
      <c r="F172" s="1">
        <v>4423611.0</v>
      </c>
      <c r="G172" s="1">
        <v>6222714.0</v>
      </c>
      <c r="H172" s="1">
        <v>7912558.0</v>
      </c>
      <c r="I172" s="4">
        <f t="shared" si="1"/>
        <v>2.488234651</v>
      </c>
      <c r="J172" s="5" t="str">
        <f t="shared" si="2"/>
        <v>Medium</v>
      </c>
    </row>
    <row r="173">
      <c r="A173" s="1" t="s">
        <v>174</v>
      </c>
      <c r="B173" s="1">
        <v>1646400.0</v>
      </c>
      <c r="C173" s="1">
        <v>2074507.0</v>
      </c>
      <c r="D173" s="1">
        <v>2413945.0</v>
      </c>
      <c r="E173" s="1">
        <v>3047132.0</v>
      </c>
      <c r="F173" s="1">
        <v>4027887.0</v>
      </c>
      <c r="G173" s="1">
        <v>5076732.0</v>
      </c>
      <c r="H173" s="1">
        <v>5685807.0</v>
      </c>
      <c r="I173" s="4">
        <f t="shared" si="1"/>
        <v>2.453478499</v>
      </c>
      <c r="J173" s="5" t="str">
        <f t="shared" si="2"/>
        <v>Medium</v>
      </c>
    </row>
    <row r="174">
      <c r="A174" s="1" t="s">
        <v>175</v>
      </c>
      <c r="B174" s="1">
        <v>2715.0</v>
      </c>
      <c r="C174" s="1">
        <v>6414.0</v>
      </c>
      <c r="D174" s="1">
        <v>12410.0</v>
      </c>
      <c r="E174" s="1">
        <v>28061.0</v>
      </c>
      <c r="F174" s="1">
        <v>30773.0</v>
      </c>
      <c r="G174" s="1">
        <v>33794.0</v>
      </c>
      <c r="H174" s="1">
        <v>41008.0</v>
      </c>
      <c r="I174" s="4">
        <f t="shared" si="1"/>
        <v>14.10423573</v>
      </c>
      <c r="J174" s="5" t="str">
        <f t="shared" si="2"/>
        <v>Small</v>
      </c>
    </row>
    <row r="175">
      <c r="A175" s="1" t="s">
        <v>176</v>
      </c>
      <c r="B175" s="1">
        <v>4068095.0</v>
      </c>
      <c r="C175" s="1">
        <v>4538223.0</v>
      </c>
      <c r="D175" s="1">
        <v>4979815.0</v>
      </c>
      <c r="E175" s="1">
        <v>5299187.0</v>
      </c>
      <c r="F175" s="1">
        <v>5388720.0</v>
      </c>
      <c r="G175" s="1">
        <v>5391428.0</v>
      </c>
      <c r="H175" s="1">
        <v>5458827.0</v>
      </c>
      <c r="I175" s="4">
        <f t="shared" si="1"/>
        <v>0.3418632062</v>
      </c>
      <c r="J175" s="5" t="str">
        <f t="shared" si="2"/>
        <v>Medium</v>
      </c>
    </row>
    <row r="176">
      <c r="A176" s="1" t="s">
        <v>177</v>
      </c>
      <c r="B176" s="1">
        <v>1584720.0</v>
      </c>
      <c r="C176" s="1">
        <v>1724891.0</v>
      </c>
      <c r="D176" s="1">
        <v>1901315.0</v>
      </c>
      <c r="E176" s="1">
        <v>1998161.0</v>
      </c>
      <c r="F176" s="1">
        <v>1988925.0</v>
      </c>
      <c r="G176" s="1">
        <v>2048583.0</v>
      </c>
      <c r="H176" s="1">
        <v>2102419.0</v>
      </c>
      <c r="I176" s="4">
        <f t="shared" si="1"/>
        <v>0.3266816851</v>
      </c>
      <c r="J176" s="5" t="str">
        <f t="shared" si="2"/>
        <v>Medium</v>
      </c>
    </row>
    <row r="177">
      <c r="A177" s="1" t="s">
        <v>178</v>
      </c>
      <c r="B177" s="1">
        <v>139688.0</v>
      </c>
      <c r="C177" s="1">
        <v>176579.0</v>
      </c>
      <c r="D177" s="1">
        <v>238135.0</v>
      </c>
      <c r="E177" s="1">
        <v>331435.0</v>
      </c>
      <c r="F177" s="1">
        <v>440469.0</v>
      </c>
      <c r="G177" s="1">
        <v>532968.0</v>
      </c>
      <c r="H177" s="1">
        <v>744498.0</v>
      </c>
      <c r="I177" s="4">
        <f t="shared" si="1"/>
        <v>4.32972052</v>
      </c>
      <c r="J177" s="5" t="str">
        <f t="shared" si="2"/>
        <v>Small</v>
      </c>
    </row>
    <row r="178">
      <c r="A178" s="1" t="s">
        <v>179</v>
      </c>
      <c r="B178" s="1">
        <v>2876331.0</v>
      </c>
      <c r="C178" s="1">
        <v>3738448.0</v>
      </c>
      <c r="D178" s="1">
        <v>5936154.0</v>
      </c>
      <c r="E178" s="1">
        <v>7082811.0</v>
      </c>
      <c r="F178" s="1">
        <v>8838713.0</v>
      </c>
      <c r="G178" s="1">
        <v>1.2261756E7</v>
      </c>
      <c r="H178" s="1">
        <v>1.6651191E7</v>
      </c>
      <c r="I178" s="4">
        <f t="shared" si="1"/>
        <v>4.789038536</v>
      </c>
      <c r="J178" s="5" t="str">
        <f t="shared" si="2"/>
        <v>Large</v>
      </c>
    </row>
    <row r="179">
      <c r="A179" s="1" t="s">
        <v>180</v>
      </c>
      <c r="B179" s="1">
        <v>1.6440172E7</v>
      </c>
      <c r="C179" s="1">
        <v>2.2279984E7</v>
      </c>
      <c r="D179" s="1">
        <v>2.9518857E7</v>
      </c>
      <c r="E179" s="1">
        <v>4.0746268E7</v>
      </c>
      <c r="F179" s="1">
        <v>4.7159719E7</v>
      </c>
      <c r="G179" s="1">
        <v>5.2344051E7</v>
      </c>
      <c r="H179" s="1">
        <v>6.0562381E7</v>
      </c>
      <c r="I179" s="4">
        <f t="shared" si="1"/>
        <v>2.683804585</v>
      </c>
      <c r="J179" s="5" t="str">
        <f t="shared" si="2"/>
        <v>Large</v>
      </c>
    </row>
    <row r="180">
      <c r="A180" s="1" t="s">
        <v>181</v>
      </c>
      <c r="B180" s="1">
        <v>2931559.0</v>
      </c>
      <c r="C180" s="1">
        <v>3409614.0</v>
      </c>
      <c r="D180" s="1">
        <v>4339030.0</v>
      </c>
      <c r="E180" s="1">
        <v>4737633.0</v>
      </c>
      <c r="F180" s="1">
        <v>6032267.0</v>
      </c>
      <c r="G180" s="1">
        <v>9745953.0</v>
      </c>
      <c r="H180" s="1">
        <v>1.0698467E7</v>
      </c>
      <c r="I180" s="4">
        <f t="shared" si="1"/>
        <v>2.649412139</v>
      </c>
      <c r="J180" s="5" t="str">
        <f t="shared" si="2"/>
        <v>Large</v>
      </c>
    </row>
    <row r="181">
      <c r="A181" s="1" t="s">
        <v>182</v>
      </c>
      <c r="B181" s="1">
        <v>3.0455E7</v>
      </c>
      <c r="C181" s="1">
        <v>3.3814531E7</v>
      </c>
      <c r="D181" s="1">
        <v>3.7491165E7</v>
      </c>
      <c r="E181" s="1">
        <v>3.8867322E7</v>
      </c>
      <c r="F181" s="1">
        <v>4.0567864E7</v>
      </c>
      <c r="G181" s="1">
        <v>4.6576897E7</v>
      </c>
      <c r="H181" s="1">
        <v>4.7359424E7</v>
      </c>
      <c r="I181" s="4">
        <f t="shared" si="1"/>
        <v>0.5550623543</v>
      </c>
      <c r="J181" s="5" t="str">
        <f t="shared" si="2"/>
        <v>Large</v>
      </c>
    </row>
    <row r="182">
      <c r="A182" s="1" t="s">
        <v>183</v>
      </c>
      <c r="B182" s="1">
        <v>9661389.0</v>
      </c>
      <c r="C182" s="1">
        <v>1.228711E7</v>
      </c>
      <c r="D182" s="1">
        <v>1.4847974E7</v>
      </c>
      <c r="E182" s="1">
        <v>1.6352458E7</v>
      </c>
      <c r="F182" s="1">
        <v>1.9293054E7</v>
      </c>
      <c r="G182" s="1">
        <v>2.0879089E7</v>
      </c>
      <c r="H182" s="1">
        <v>2.1919E7</v>
      </c>
      <c r="I182" s="4">
        <f t="shared" si="1"/>
        <v>1.268721402</v>
      </c>
      <c r="J182" s="5" t="str">
        <f t="shared" si="2"/>
        <v>Large</v>
      </c>
    </row>
    <row r="183">
      <c r="A183" s="1" t="s">
        <v>184</v>
      </c>
      <c r="B183" s="1">
        <v>55810.0</v>
      </c>
      <c r="C183" s="1">
        <v>44606.0</v>
      </c>
      <c r="D183" s="1">
        <v>42850.0</v>
      </c>
      <c r="E183" s="1">
        <v>40432.0</v>
      </c>
      <c r="F183" s="1">
        <v>45248.0</v>
      </c>
      <c r="G183" s="1">
        <v>46846.0</v>
      </c>
      <c r="H183" s="1">
        <v>46870.0</v>
      </c>
      <c r="I183" s="4">
        <f t="shared" si="1"/>
        <v>-0.1601863465</v>
      </c>
      <c r="J183" s="5" t="str">
        <f t="shared" si="2"/>
        <v>Small</v>
      </c>
    </row>
    <row r="184">
      <c r="A184" s="1" t="s">
        <v>185</v>
      </c>
      <c r="B184" s="1">
        <v>92585.0</v>
      </c>
      <c r="C184" s="1">
        <v>103165.0</v>
      </c>
      <c r="D184" s="1">
        <v>119290.0</v>
      </c>
      <c r="E184" s="1">
        <v>137857.0</v>
      </c>
      <c r="F184" s="1">
        <v>158616.0</v>
      </c>
      <c r="G184" s="1">
        <v>170906.0</v>
      </c>
      <c r="H184" s="1">
        <v>178250.0</v>
      </c>
      <c r="I184" s="4">
        <f t="shared" si="1"/>
        <v>0.9252578711</v>
      </c>
      <c r="J184" s="5" t="str">
        <f t="shared" si="2"/>
        <v>Small</v>
      </c>
    </row>
    <row r="185">
      <c r="A185" s="1" t="s">
        <v>186</v>
      </c>
      <c r="B185" s="1">
        <v>4250.0</v>
      </c>
      <c r="C185" s="1">
        <v>6047.0</v>
      </c>
      <c r="D185" s="1">
        <v>8288.0</v>
      </c>
      <c r="E185" s="1">
        <v>28224.0</v>
      </c>
      <c r="F185" s="1">
        <v>29996.0</v>
      </c>
      <c r="G185" s="1">
        <v>36856.0</v>
      </c>
      <c r="H185" s="1">
        <v>31786.0</v>
      </c>
      <c r="I185" s="4">
        <f t="shared" si="1"/>
        <v>6.479058824</v>
      </c>
      <c r="J185" s="5" t="str">
        <f t="shared" si="2"/>
        <v>Small</v>
      </c>
    </row>
    <row r="186">
      <c r="A186" s="1" t="s">
        <v>187</v>
      </c>
      <c r="B186" s="1">
        <v>84388.0</v>
      </c>
      <c r="C186" s="1">
        <v>95964.0</v>
      </c>
      <c r="D186" s="1">
        <v>104213.0</v>
      </c>
      <c r="E186" s="1">
        <v>111812.0</v>
      </c>
      <c r="F186" s="1">
        <v>113545.0</v>
      </c>
      <c r="G186" s="1">
        <v>109959.0</v>
      </c>
      <c r="H186" s="1">
        <v>103526.0</v>
      </c>
      <c r="I186" s="4">
        <f t="shared" si="1"/>
        <v>0.2267857989</v>
      </c>
      <c r="J186" s="5" t="str">
        <f t="shared" si="2"/>
        <v>Small</v>
      </c>
    </row>
    <row r="187">
      <c r="A187" s="1" t="s">
        <v>188</v>
      </c>
      <c r="B187" s="1">
        <v>8364489.0</v>
      </c>
      <c r="C187" s="1">
        <v>1.1695771E7</v>
      </c>
      <c r="D187" s="1">
        <v>1.7058905E7</v>
      </c>
      <c r="E187" s="1">
        <v>2.2021481E7</v>
      </c>
      <c r="F187" s="1">
        <v>2.7816745E7</v>
      </c>
      <c r="G187" s="1">
        <v>3.5414399E7</v>
      </c>
      <c r="H187" s="1">
        <v>4.6789231E7</v>
      </c>
      <c r="I187" s="4">
        <f t="shared" si="1"/>
        <v>4.593794313</v>
      </c>
      <c r="J187" s="5" t="str">
        <f t="shared" si="2"/>
        <v>Large</v>
      </c>
    </row>
    <row r="188">
      <c r="A188" s="1" t="s">
        <v>189</v>
      </c>
      <c r="B188" s="1">
        <v>263918.0</v>
      </c>
      <c r="C188" s="1">
        <v>379442.0</v>
      </c>
      <c r="D188" s="1">
        <v>375377.0</v>
      </c>
      <c r="E188" s="1">
        <v>412493.0</v>
      </c>
      <c r="F188" s="1">
        <v>476643.0</v>
      </c>
      <c r="G188" s="1">
        <v>549923.0</v>
      </c>
      <c r="H188" s="1">
        <v>612317.0</v>
      </c>
      <c r="I188" s="4">
        <f t="shared" si="1"/>
        <v>1.320103214</v>
      </c>
      <c r="J188" s="5" t="str">
        <f t="shared" si="2"/>
        <v>Small</v>
      </c>
    </row>
    <row r="189">
      <c r="A189" s="1" t="s">
        <v>190</v>
      </c>
      <c r="B189" s="1">
        <v>7484656.0</v>
      </c>
      <c r="C189" s="1">
        <v>8042801.0</v>
      </c>
      <c r="D189" s="1">
        <v>8310531.0</v>
      </c>
      <c r="E189" s="1">
        <v>8558835.0</v>
      </c>
      <c r="F189" s="1">
        <v>8872109.0</v>
      </c>
      <c r="G189" s="1">
        <v>9378126.0</v>
      </c>
      <c r="H189" s="1">
        <v>1.0353442E7</v>
      </c>
      <c r="I189" s="4">
        <f t="shared" si="1"/>
        <v>0.3832889581</v>
      </c>
      <c r="J189" s="5" t="str">
        <f t="shared" si="2"/>
        <v>Large</v>
      </c>
    </row>
    <row r="190">
      <c r="A190" s="1" t="s">
        <v>191</v>
      </c>
      <c r="B190" s="1">
        <v>5327827.0</v>
      </c>
      <c r="C190" s="1">
        <v>6180877.0</v>
      </c>
      <c r="D190" s="1">
        <v>6319408.0</v>
      </c>
      <c r="E190" s="1">
        <v>6715519.0</v>
      </c>
      <c r="F190" s="1">
        <v>7184250.0</v>
      </c>
      <c r="G190" s="1">
        <v>7824909.0</v>
      </c>
      <c r="H190" s="1">
        <v>8638167.0</v>
      </c>
      <c r="I190" s="4">
        <f t="shared" si="1"/>
        <v>0.6213302346</v>
      </c>
      <c r="J190" s="5" t="str">
        <f t="shared" si="2"/>
        <v>Medium</v>
      </c>
    </row>
    <row r="191">
      <c r="A191" s="1" t="s">
        <v>192</v>
      </c>
      <c r="B191" s="1">
        <v>4673500.0</v>
      </c>
      <c r="C191" s="1">
        <v>6380609.0</v>
      </c>
      <c r="D191" s="1">
        <v>8957663.0</v>
      </c>
      <c r="E191" s="1">
        <v>1.2579208E7</v>
      </c>
      <c r="F191" s="1">
        <v>1.6637888E7</v>
      </c>
      <c r="G191" s="1">
        <v>2.2482421E7</v>
      </c>
      <c r="H191" s="1">
        <v>2.1049429E7</v>
      </c>
      <c r="I191" s="4">
        <f t="shared" si="1"/>
        <v>3.50399679</v>
      </c>
      <c r="J191" s="5" t="str">
        <f t="shared" si="2"/>
        <v>Large</v>
      </c>
    </row>
    <row r="192">
      <c r="A192" s="1" t="s">
        <v>193</v>
      </c>
      <c r="B192" s="1">
        <v>2112131.0</v>
      </c>
      <c r="C192" s="1">
        <v>2936779.0</v>
      </c>
      <c r="D192" s="1">
        <v>3995256.0</v>
      </c>
      <c r="E192" s="1">
        <v>5398768.0</v>
      </c>
      <c r="F192" s="1">
        <v>6284735.0</v>
      </c>
      <c r="G192" s="1">
        <v>7652141.0</v>
      </c>
      <c r="H192" s="1">
        <v>9749310.0</v>
      </c>
      <c r="I192" s="4">
        <f t="shared" si="1"/>
        <v>3.615864262</v>
      </c>
      <c r="J192" s="5" t="str">
        <f t="shared" si="2"/>
        <v>Medium</v>
      </c>
    </row>
    <row r="193">
      <c r="A193" s="1" t="s">
        <v>194</v>
      </c>
      <c r="B193" s="1">
        <v>9901419.0</v>
      </c>
      <c r="C193" s="1">
        <v>1.3492677E7</v>
      </c>
      <c r="D193" s="1">
        <v>1.9189769E7</v>
      </c>
      <c r="E193" s="1">
        <v>2.6110207E7</v>
      </c>
      <c r="F193" s="1">
        <v>3.4260139E7</v>
      </c>
      <c r="G193" s="1">
        <v>4.4758488E7</v>
      </c>
      <c r="H193" s="1">
        <v>6.0972798E7</v>
      </c>
      <c r="I193" s="4">
        <f t="shared" si="1"/>
        <v>5.15798584</v>
      </c>
      <c r="J193" s="5" t="str">
        <f t="shared" si="2"/>
        <v>Large</v>
      </c>
    </row>
    <row r="194">
      <c r="A194" s="1" t="s">
        <v>195</v>
      </c>
      <c r="B194" s="1">
        <v>2.6851747E7</v>
      </c>
      <c r="C194" s="1">
        <v>3.5954408E7</v>
      </c>
      <c r="D194" s="1">
        <v>4.5650022E7</v>
      </c>
      <c r="E194" s="1">
        <v>5.4738329E7</v>
      </c>
      <c r="F194" s="1">
        <v>6.3007815E7</v>
      </c>
      <c r="G194" s="1">
        <v>6.8579447E7</v>
      </c>
      <c r="H194" s="1">
        <v>7.1641484E7</v>
      </c>
      <c r="I194" s="4">
        <f t="shared" si="1"/>
        <v>1.668038098</v>
      </c>
      <c r="J194" s="5" t="str">
        <f t="shared" si="2"/>
        <v>Large</v>
      </c>
    </row>
    <row r="195">
      <c r="A195" s="1" t="s">
        <v>196</v>
      </c>
      <c r="B195" s="1">
        <v>468118.0</v>
      </c>
      <c r="C195" s="1">
        <v>553069.0</v>
      </c>
      <c r="D195" s="1">
        <v>649871.0</v>
      </c>
      <c r="E195" s="1">
        <v>760345.0</v>
      </c>
      <c r="F195" s="1">
        <v>745088.0</v>
      </c>
      <c r="G195" s="1">
        <v>1084679.0</v>
      </c>
      <c r="H195" s="1">
        <v>1326053.0</v>
      </c>
      <c r="I195" s="4">
        <f t="shared" si="1"/>
        <v>1.832732345</v>
      </c>
      <c r="J195" s="5" t="str">
        <f t="shared" si="2"/>
        <v>Medium</v>
      </c>
    </row>
    <row r="196">
      <c r="A196" s="1" t="s">
        <v>197</v>
      </c>
      <c r="B196" s="1">
        <v>1673110.0</v>
      </c>
      <c r="C196" s="1">
        <v>2244773.0</v>
      </c>
      <c r="D196" s="1">
        <v>2920894.0</v>
      </c>
      <c r="E196" s="1">
        <v>3998761.0</v>
      </c>
      <c r="F196" s="1">
        <v>5140037.0</v>
      </c>
      <c r="G196" s="1">
        <v>6732590.0</v>
      </c>
      <c r="H196" s="1">
        <v>8669720.0</v>
      </c>
      <c r="I196" s="4">
        <f t="shared" si="1"/>
        <v>4.181799164</v>
      </c>
      <c r="J196" s="5" t="str">
        <f t="shared" si="2"/>
        <v>Medium</v>
      </c>
    </row>
    <row r="197">
      <c r="A197" s="1" t="s">
        <v>198</v>
      </c>
      <c r="B197" s="1">
        <v>66170.0</v>
      </c>
      <c r="C197" s="1">
        <v>84401.0</v>
      </c>
      <c r="D197" s="1">
        <v>97769.0</v>
      </c>
      <c r="E197" s="1">
        <v>99700.0</v>
      </c>
      <c r="F197" s="1">
        <v>102677.0</v>
      </c>
      <c r="G197" s="1">
        <v>107400.0</v>
      </c>
      <c r="H197" s="1">
        <v>105704.0</v>
      </c>
      <c r="I197" s="4">
        <f t="shared" si="1"/>
        <v>0.5974610851</v>
      </c>
      <c r="J197" s="5" t="str">
        <f t="shared" si="2"/>
        <v>Small</v>
      </c>
    </row>
    <row r="198">
      <c r="A198" s="1" t="s">
        <v>199</v>
      </c>
      <c r="B198" s="1">
        <v>844943.0</v>
      </c>
      <c r="C198" s="1">
        <v>991471.0</v>
      </c>
      <c r="D198" s="1">
        <v>1121744.0</v>
      </c>
      <c r="E198" s="1">
        <v>1252208.0</v>
      </c>
      <c r="F198" s="1">
        <v>1319774.0</v>
      </c>
      <c r="G198" s="1">
        <v>1317714.0</v>
      </c>
      <c r="H198" s="1">
        <v>1366725.0</v>
      </c>
      <c r="I198" s="4">
        <f t="shared" si="1"/>
        <v>0.6175351473</v>
      </c>
      <c r="J198" s="5" t="str">
        <f t="shared" si="2"/>
        <v>Medium</v>
      </c>
    </row>
    <row r="199">
      <c r="A199" s="1" t="s">
        <v>200</v>
      </c>
      <c r="B199" s="1">
        <v>4267288.0</v>
      </c>
      <c r="C199" s="1">
        <v>5131396.0</v>
      </c>
      <c r="D199" s="1">
        <v>6606195.0</v>
      </c>
      <c r="E199" s="1">
        <v>8324509.0</v>
      </c>
      <c r="F199" s="1">
        <v>9764935.0</v>
      </c>
      <c r="G199" s="1">
        <v>1.076598E7</v>
      </c>
      <c r="H199" s="1">
        <v>1.1974057E7</v>
      </c>
      <c r="I199" s="4">
        <f t="shared" si="1"/>
        <v>1.806010984</v>
      </c>
      <c r="J199" s="5" t="str">
        <f t="shared" si="2"/>
        <v>Large</v>
      </c>
    </row>
    <row r="200">
      <c r="A200" s="1" t="s">
        <v>201</v>
      </c>
      <c r="B200" s="1">
        <v>2.8329898E7</v>
      </c>
      <c r="C200" s="1">
        <v>3.6638465E7</v>
      </c>
      <c r="D200" s="1">
        <v>4.5408815E7</v>
      </c>
      <c r="E200" s="1">
        <v>5.6015628E7</v>
      </c>
      <c r="F200" s="1">
        <v>6.5425961E7</v>
      </c>
      <c r="G200" s="1">
        <v>7.314215E7</v>
      </c>
      <c r="H200" s="1">
        <v>8.338468E7</v>
      </c>
      <c r="I200" s="4">
        <f t="shared" si="1"/>
        <v>1.943345578</v>
      </c>
      <c r="J200" s="5" t="str">
        <f t="shared" si="2"/>
        <v>Large</v>
      </c>
    </row>
    <row r="201">
      <c r="A201" s="1" t="s">
        <v>202</v>
      </c>
      <c r="B201" s="1">
        <v>1643457.0</v>
      </c>
      <c r="C201" s="1">
        <v>2195616.0</v>
      </c>
      <c r="D201" s="1">
        <v>2832203.0</v>
      </c>
      <c r="E201" s="1">
        <v>3760562.0</v>
      </c>
      <c r="F201" s="1">
        <v>4582677.0</v>
      </c>
      <c r="G201" s="1">
        <v>5564356.0</v>
      </c>
      <c r="H201" s="1">
        <v>6949912.0</v>
      </c>
      <c r="I201" s="4">
        <f t="shared" si="1"/>
        <v>3.22883714</v>
      </c>
      <c r="J201" s="5" t="str">
        <f t="shared" si="2"/>
        <v>Medium</v>
      </c>
    </row>
    <row r="202">
      <c r="A202" s="1" t="s">
        <v>203</v>
      </c>
      <c r="B202" s="1">
        <v>5599.0</v>
      </c>
      <c r="C202" s="1">
        <v>5667.0</v>
      </c>
      <c r="D202" s="1">
        <v>7564.0</v>
      </c>
      <c r="E202" s="1">
        <v>11688.0</v>
      </c>
      <c r="F202" s="1">
        <v>18730.0</v>
      </c>
      <c r="G202" s="1">
        <v>29739.0</v>
      </c>
      <c r="H202" s="1">
        <v>44386.0</v>
      </c>
      <c r="I202" s="4">
        <f t="shared" si="1"/>
        <v>6.927487051</v>
      </c>
      <c r="J202" s="5" t="str">
        <f t="shared" si="2"/>
        <v>Small</v>
      </c>
    </row>
    <row r="203">
      <c r="A203" s="1" t="s">
        <v>204</v>
      </c>
      <c r="B203" s="1">
        <v>5598.0</v>
      </c>
      <c r="C203" s="1">
        <v>5663.0</v>
      </c>
      <c r="D203" s="1">
        <v>7366.0</v>
      </c>
      <c r="E203" s="1">
        <v>8798.0</v>
      </c>
      <c r="F203" s="1">
        <v>9544.0</v>
      </c>
      <c r="G203" s="1">
        <v>10614.0</v>
      </c>
      <c r="H203" s="1">
        <v>10399.0</v>
      </c>
      <c r="I203" s="4">
        <f t="shared" si="1"/>
        <v>0.8576277242</v>
      </c>
      <c r="J203" s="5" t="str">
        <f t="shared" si="2"/>
        <v>Small</v>
      </c>
    </row>
    <row r="204">
      <c r="A204" s="1" t="s">
        <v>205</v>
      </c>
      <c r="B204" s="1">
        <v>7640973.0</v>
      </c>
      <c r="C204" s="1">
        <v>1.0321603E7</v>
      </c>
      <c r="D204" s="1">
        <v>1.3275741E7</v>
      </c>
      <c r="E204" s="1">
        <v>1.7569897E7</v>
      </c>
      <c r="F204" s="1">
        <v>2.400015E7</v>
      </c>
      <c r="G204" s="1">
        <v>3.2390802E7</v>
      </c>
      <c r="H204" s="1">
        <v>4.4457152E7</v>
      </c>
      <c r="I204" s="4">
        <f t="shared" si="1"/>
        <v>4.818257963</v>
      </c>
      <c r="J204" s="5" t="str">
        <f t="shared" si="2"/>
        <v>Large</v>
      </c>
    </row>
    <row r="205">
      <c r="A205" s="1" t="s">
        <v>206</v>
      </c>
      <c r="B205" s="1">
        <v>4.2824093E7</v>
      </c>
      <c r="C205" s="1">
        <v>4.7261306E7</v>
      </c>
      <c r="D205" s="1">
        <v>4.9955152E7</v>
      </c>
      <c r="E205" s="1">
        <v>5.2054092E7</v>
      </c>
      <c r="F205" s="1">
        <v>4.955666E7</v>
      </c>
      <c r="G205" s="1">
        <v>4.6456003E7</v>
      </c>
      <c r="H205" s="1">
        <v>4.4680014E7</v>
      </c>
      <c r="I205" s="4">
        <f t="shared" si="1"/>
        <v>0.0433382442</v>
      </c>
      <c r="J205" s="5" t="str">
        <f t="shared" si="2"/>
        <v>Large</v>
      </c>
    </row>
    <row r="206">
      <c r="A206" s="1" t="s">
        <v>207</v>
      </c>
      <c r="B206" s="1">
        <v>131334.0</v>
      </c>
      <c r="C206" s="1">
        <v>286536.0</v>
      </c>
      <c r="D206" s="1">
        <v>1015700.0</v>
      </c>
      <c r="E206" s="1">
        <v>1898220.0</v>
      </c>
      <c r="F206" s="1">
        <v>3493575.0</v>
      </c>
      <c r="G206" s="1">
        <v>6869838.0</v>
      </c>
      <c r="H206" s="1">
        <v>9401038.0</v>
      </c>
      <c r="I206" s="4">
        <f t="shared" si="1"/>
        <v>70.58114426</v>
      </c>
      <c r="J206" s="5" t="str">
        <f t="shared" si="2"/>
        <v>Medium</v>
      </c>
    </row>
    <row r="207">
      <c r="A207" s="1" t="s">
        <v>208</v>
      </c>
      <c r="B207" s="1">
        <v>5.24E7</v>
      </c>
      <c r="C207" s="1">
        <v>5.566325E7</v>
      </c>
      <c r="D207" s="1">
        <v>5.6314216E7</v>
      </c>
      <c r="E207" s="1">
        <v>5.7247586E7</v>
      </c>
      <c r="F207" s="1">
        <v>5.8892514E7</v>
      </c>
      <c r="G207" s="1">
        <v>6.2766365E7</v>
      </c>
      <c r="H207" s="1">
        <v>6.6744E7</v>
      </c>
      <c r="I207" s="4">
        <f t="shared" si="1"/>
        <v>0.273740458</v>
      </c>
      <c r="J207" s="5" t="str">
        <f t="shared" si="2"/>
        <v>Large</v>
      </c>
    </row>
    <row r="208">
      <c r="A208" s="1" t="s">
        <v>209</v>
      </c>
      <c r="B208" s="1">
        <v>1.80671E8</v>
      </c>
      <c r="C208" s="1">
        <v>2.05052E8</v>
      </c>
      <c r="D208" s="1">
        <v>2.27225E8</v>
      </c>
      <c r="E208" s="1">
        <v>2.49623E8</v>
      </c>
      <c r="F208" s="1">
        <v>2.82162411E8</v>
      </c>
      <c r="G208" s="1">
        <v>3.09378227E8</v>
      </c>
      <c r="H208" s="1">
        <v>3.3157772E8</v>
      </c>
      <c r="I208" s="4">
        <f t="shared" si="1"/>
        <v>0.8352570141</v>
      </c>
      <c r="J208" s="5" t="str">
        <f t="shared" si="2"/>
        <v>Large</v>
      </c>
    </row>
    <row r="209">
      <c r="A209" s="1" t="s">
        <v>210</v>
      </c>
      <c r="B209" s="1">
        <v>2529957.0</v>
      </c>
      <c r="C209" s="1">
        <v>2790807.0</v>
      </c>
      <c r="D209" s="1">
        <v>2951953.0</v>
      </c>
      <c r="E209" s="1">
        <v>3104403.0</v>
      </c>
      <c r="F209" s="1">
        <v>3266206.0</v>
      </c>
      <c r="G209" s="1">
        <v>3318580.0</v>
      </c>
      <c r="H209" s="1">
        <v>3398968.0</v>
      </c>
      <c r="I209" s="4">
        <f t="shared" si="1"/>
        <v>0.3434884466</v>
      </c>
      <c r="J209" s="5" t="str">
        <f t="shared" si="2"/>
        <v>Medium</v>
      </c>
    </row>
    <row r="210">
      <c r="A210" s="1" t="s">
        <v>211</v>
      </c>
      <c r="B210" s="1">
        <v>8209109.0</v>
      </c>
      <c r="C210" s="1">
        <v>1.1762638E7</v>
      </c>
      <c r="D210" s="1">
        <v>1.5619936E7</v>
      </c>
      <c r="E210" s="1">
        <v>2.0464956E7</v>
      </c>
      <c r="F210" s="1">
        <v>2.4787054E7</v>
      </c>
      <c r="G210" s="1">
        <v>2.8385506E7</v>
      </c>
      <c r="H210" s="1">
        <v>3.3586372E7</v>
      </c>
      <c r="I210" s="4">
        <f t="shared" si="1"/>
        <v>3.091354129</v>
      </c>
      <c r="J210" s="5" t="str">
        <f t="shared" si="2"/>
        <v>Large</v>
      </c>
    </row>
    <row r="211">
      <c r="A211" s="1" t="s">
        <v>212</v>
      </c>
      <c r="B211" s="1">
        <v>64431.0</v>
      </c>
      <c r="C211" s="1">
        <v>86266.0</v>
      </c>
      <c r="D211" s="1">
        <v>115660.0</v>
      </c>
      <c r="E211" s="1">
        <v>148063.0</v>
      </c>
      <c r="F211" s="1">
        <v>186281.0</v>
      </c>
      <c r="G211" s="1">
        <v>238248.0</v>
      </c>
      <c r="H211" s="1">
        <v>298858.0</v>
      </c>
      <c r="I211" s="4">
        <f t="shared" si="1"/>
        <v>3.638419394</v>
      </c>
      <c r="J211" s="5" t="str">
        <f t="shared" si="2"/>
        <v>Small</v>
      </c>
    </row>
    <row r="212">
      <c r="A212" s="1" t="s">
        <v>213</v>
      </c>
      <c r="B212" s="1">
        <v>8160090.0</v>
      </c>
      <c r="C212" s="1">
        <v>1.138779E7</v>
      </c>
      <c r="D212" s="1">
        <v>1.5258218E7</v>
      </c>
      <c r="E212" s="1">
        <v>1.982701E7</v>
      </c>
      <c r="F212" s="1">
        <v>2.4526708E7</v>
      </c>
      <c r="G212" s="1">
        <v>2.8813101E7</v>
      </c>
      <c r="H212" s="1">
        <v>2.8444077E7</v>
      </c>
      <c r="I212" s="4">
        <f t="shared" si="1"/>
        <v>2.485755304</v>
      </c>
      <c r="J212" s="5" t="str">
        <f t="shared" si="2"/>
        <v>Large</v>
      </c>
    </row>
    <row r="213">
      <c r="A213" s="1" t="s">
        <v>214</v>
      </c>
      <c r="B213" s="1">
        <v>3.2531933E7</v>
      </c>
      <c r="C213" s="1">
        <v>4.147523E7</v>
      </c>
      <c r="D213" s="1">
        <v>5.2490101E7</v>
      </c>
      <c r="E213" s="1">
        <v>6.5504552E7</v>
      </c>
      <c r="F213" s="1">
        <v>7.7154011E7</v>
      </c>
      <c r="G213" s="1">
        <v>8.7455152E7</v>
      </c>
      <c r="H213" s="1">
        <v>9.8079191E7</v>
      </c>
      <c r="I213" s="4">
        <f t="shared" si="1"/>
        <v>2.014859</v>
      </c>
      <c r="J213" s="5" t="str">
        <f t="shared" si="2"/>
        <v>Large</v>
      </c>
    </row>
    <row r="214">
      <c r="A214" s="1" t="s">
        <v>215</v>
      </c>
      <c r="B214" s="1">
        <v>32500.0</v>
      </c>
      <c r="C214" s="1">
        <v>63476.0</v>
      </c>
      <c r="D214" s="1">
        <v>99636.0</v>
      </c>
      <c r="E214" s="1">
        <v>103963.0</v>
      </c>
      <c r="F214" s="1">
        <v>108642.0</v>
      </c>
      <c r="G214" s="1">
        <v>108357.0</v>
      </c>
      <c r="H214" s="1">
        <v>106290.0</v>
      </c>
      <c r="I214" s="4">
        <f t="shared" si="1"/>
        <v>2.270461538</v>
      </c>
      <c r="J214" s="5" t="str">
        <f t="shared" si="2"/>
        <v>Small</v>
      </c>
    </row>
    <row r="215">
      <c r="A215" s="1" t="s">
        <v>216</v>
      </c>
      <c r="B215" s="1"/>
      <c r="C215" s="1"/>
      <c r="D215" s="1"/>
      <c r="E215" s="1">
        <v>1978248.0</v>
      </c>
      <c r="F215" s="1">
        <v>2922153.0</v>
      </c>
      <c r="G215" s="1">
        <v>3786161.0</v>
      </c>
      <c r="H215" s="1">
        <v>4803269.0</v>
      </c>
      <c r="I215" s="4">
        <f>(H215-E215)/E215</f>
        <v>1.428041884</v>
      </c>
      <c r="J215" s="5" t="str">
        <f t="shared" si="2"/>
        <v>Medium</v>
      </c>
    </row>
    <row r="216">
      <c r="A216" s="1" t="s">
        <v>217</v>
      </c>
      <c r="B216" s="1">
        <v>5532301.0</v>
      </c>
      <c r="C216" s="1">
        <v>7065279.0</v>
      </c>
      <c r="D216" s="1">
        <v>9543358.0</v>
      </c>
      <c r="E216" s="1">
        <v>1.3887862E7</v>
      </c>
      <c r="F216" s="1">
        <v>1.9624141E7</v>
      </c>
      <c r="G216" s="1">
        <v>2.6754387E7</v>
      </c>
      <c r="H216" s="1">
        <v>3.6134863E7</v>
      </c>
      <c r="I216" s="4">
        <f t="shared" ref="I216:I218" si="3">(H216-B216)/B216</f>
        <v>5.531615507</v>
      </c>
      <c r="J216" s="5" t="str">
        <f t="shared" si="2"/>
        <v>Large</v>
      </c>
    </row>
    <row r="217">
      <c r="A217" s="1" t="s">
        <v>218</v>
      </c>
      <c r="B217" s="1">
        <v>3153729.0</v>
      </c>
      <c r="C217" s="1">
        <v>4321718.0</v>
      </c>
      <c r="D217" s="1">
        <v>5802833.0</v>
      </c>
      <c r="E217" s="1">
        <v>7786169.0</v>
      </c>
      <c r="F217" s="1">
        <v>1.0017631E7</v>
      </c>
      <c r="G217" s="1">
        <v>1.3965594E7</v>
      </c>
      <c r="H217" s="1">
        <v>1.9059395E7</v>
      </c>
      <c r="I217" s="4">
        <f t="shared" si="3"/>
        <v>5.043447297</v>
      </c>
      <c r="J217" s="5" t="str">
        <f t="shared" si="2"/>
        <v>Large</v>
      </c>
    </row>
    <row r="218">
      <c r="A218" s="1" t="s">
        <v>219</v>
      </c>
      <c r="B218" s="1">
        <v>3809389.0</v>
      </c>
      <c r="C218" s="1">
        <v>5215918.0</v>
      </c>
      <c r="D218" s="1">
        <v>7041303.0</v>
      </c>
      <c r="E218" s="1">
        <v>1.0137281E7</v>
      </c>
      <c r="F218" s="1">
        <v>1.1892055E7</v>
      </c>
      <c r="G218" s="1">
        <v>1.3356548E7</v>
      </c>
      <c r="H218" s="1">
        <v>1.5526888E7</v>
      </c>
      <c r="I218" s="4">
        <f t="shared" si="3"/>
        <v>3.075952338</v>
      </c>
      <c r="J218" s="5" t="str">
        <f t="shared" si="2"/>
        <v>Large</v>
      </c>
    </row>
  </sheetData>
  <mergeCells count="5">
    <mergeCell ref="A1:A2"/>
    <mergeCell ref="B1:H1"/>
    <mergeCell ref="I1:I2"/>
    <mergeCell ref="J1:J2"/>
    <mergeCell ref="L18:M18"/>
  </mergeCells>
  <conditionalFormatting sqref="A1:I2">
    <cfRule type="notContainsBlanks" dxfId="0" priority="1">
      <formula>LEN(TRIM(A1))&gt;0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3</v>
      </c>
      <c r="B1" s="5" t="s">
        <v>0</v>
      </c>
      <c r="C1" s="5" t="s">
        <v>2</v>
      </c>
      <c r="D1" s="5"/>
      <c r="F1" s="25" t="s">
        <v>271</v>
      </c>
      <c r="G1" s="15"/>
    </row>
    <row r="2">
      <c r="A2" s="5"/>
      <c r="B2" s="5"/>
      <c r="C2" s="5"/>
      <c r="D2" s="5"/>
      <c r="F2" s="23" t="s">
        <v>272</v>
      </c>
      <c r="G2" s="24">
        <f>AVERAGE(C3:C93)</f>
        <v>2.622832724</v>
      </c>
    </row>
    <row r="3">
      <c r="A3" s="5" t="s">
        <v>272</v>
      </c>
      <c r="B3" s="5" t="s">
        <v>4</v>
      </c>
      <c r="C3" s="4">
        <v>3.3241608257979514</v>
      </c>
      <c r="D3" s="5"/>
      <c r="F3" s="23" t="s">
        <v>273</v>
      </c>
      <c r="G3" s="24">
        <f>AVERAGE(C94:C161)</f>
        <v>4.328985862</v>
      </c>
    </row>
    <row r="4">
      <c r="A4" s="5"/>
      <c r="B4" s="5" t="s">
        <v>6</v>
      </c>
      <c r="C4" s="4">
        <v>2.8549139328916207</v>
      </c>
      <c r="D4" s="5"/>
      <c r="F4" s="23" t="s">
        <v>274</v>
      </c>
      <c r="G4" s="24">
        <f>AVERAGE(C162:C218)</f>
        <v>2.139732916</v>
      </c>
    </row>
    <row r="5">
      <c r="A5" s="5"/>
      <c r="B5" s="5" t="s">
        <v>9</v>
      </c>
      <c r="C5" s="4">
        <v>5.393987828705797</v>
      </c>
      <c r="D5" s="5"/>
    </row>
    <row r="6">
      <c r="A6" s="5"/>
      <c r="B6" s="5" t="s">
        <v>11</v>
      </c>
      <c r="C6" s="4">
        <v>1.2168088513490478</v>
      </c>
      <c r="D6" s="5"/>
    </row>
    <row r="7">
      <c r="A7" s="5"/>
      <c r="B7" s="5" t="s">
        <v>14</v>
      </c>
      <c r="C7" s="4">
        <v>1.4959183969370047</v>
      </c>
      <c r="D7" s="5"/>
    </row>
    <row r="8">
      <c r="A8" s="5"/>
      <c r="B8" s="5" t="s">
        <v>16</v>
      </c>
      <c r="C8" s="4">
        <v>1.5916346129156502</v>
      </c>
      <c r="D8" s="5"/>
    </row>
    <row r="9">
      <c r="A9" s="5"/>
      <c r="B9" s="5" t="s">
        <v>19</v>
      </c>
      <c r="C9" s="4">
        <v>2.2086112973015317</v>
      </c>
      <c r="D9" s="5"/>
    </row>
    <row r="10">
      <c r="A10" s="5"/>
      <c r="B10" s="5" t="s">
        <v>22</v>
      </c>
      <c r="C10" s="4">
        <v>0.26056894808089026</v>
      </c>
      <c r="D10" s="5"/>
    </row>
    <row r="11">
      <c r="A11" s="5"/>
      <c r="B11" s="5" t="s">
        <v>24</v>
      </c>
      <c r="C11" s="4">
        <v>4.1921668813158295</v>
      </c>
      <c r="D11" s="5"/>
    </row>
    <row r="12">
      <c r="A12" s="5"/>
      <c r="B12" s="5" t="s">
        <v>27</v>
      </c>
      <c r="C12" s="4">
        <v>2.191590523031081</v>
      </c>
      <c r="D12" s="5"/>
    </row>
    <row r="13">
      <c r="A13" s="5"/>
      <c r="B13" s="5" t="s">
        <v>30</v>
      </c>
      <c r="C13" s="4">
        <v>1.882528579341866</v>
      </c>
      <c r="D13" s="5"/>
    </row>
    <row r="14">
      <c r="A14" s="5"/>
      <c r="B14" s="5" t="s">
        <v>34</v>
      </c>
      <c r="C14" s="4">
        <v>3.494746496949643</v>
      </c>
      <c r="D14" s="5"/>
    </row>
    <row r="15">
      <c r="A15" s="5"/>
      <c r="B15" s="5" t="s">
        <v>35</v>
      </c>
      <c r="C15" s="4">
        <v>3.564348190364286</v>
      </c>
      <c r="D15" s="5"/>
    </row>
    <row r="16">
      <c r="A16" s="5"/>
      <c r="B16" s="5" t="s">
        <v>37</v>
      </c>
      <c r="C16" s="4">
        <v>2.0689134574417527</v>
      </c>
      <c r="D16" s="5"/>
    </row>
    <row r="17">
      <c r="A17" s="5"/>
      <c r="B17" s="5" t="s">
        <v>38</v>
      </c>
      <c r="C17" s="4">
        <v>4.080493973995635</v>
      </c>
      <c r="D17" s="5"/>
    </row>
    <row r="18">
      <c r="A18" s="5"/>
      <c r="B18" s="5" t="s">
        <v>39</v>
      </c>
      <c r="C18" s="4">
        <v>1.1233950567513427</v>
      </c>
      <c r="D18" s="5"/>
    </row>
    <row r="19">
      <c r="A19" s="5"/>
      <c r="B19" s="5" t="s">
        <v>42</v>
      </c>
      <c r="C19" s="4">
        <v>0.10737760878238625</v>
      </c>
      <c r="D19" s="5"/>
    </row>
    <row r="20">
      <c r="A20" s="5"/>
      <c r="B20" s="5" t="s">
        <v>43</v>
      </c>
      <c r="C20" s="4">
        <v>4.647735715798675</v>
      </c>
      <c r="D20" s="5"/>
    </row>
    <row r="21">
      <c r="A21" s="5"/>
      <c r="B21" s="5" t="s">
        <v>45</v>
      </c>
      <c r="C21" s="4">
        <v>1.3757871304433147</v>
      </c>
      <c r="D21" s="5"/>
    </row>
    <row r="22">
      <c r="A22" s="5"/>
      <c r="B22" s="5" t="s">
        <v>46</v>
      </c>
      <c r="C22" s="4">
        <v>1.115370201028378</v>
      </c>
      <c r="D22" s="5"/>
    </row>
    <row r="23">
      <c r="A23" s="5"/>
      <c r="B23" s="5" t="s">
        <v>47</v>
      </c>
      <c r="C23" s="4">
        <v>2.244221386500719</v>
      </c>
      <c r="D23" s="5"/>
    </row>
    <row r="24">
      <c r="A24" s="5"/>
      <c r="B24" s="5" t="s">
        <v>49</v>
      </c>
      <c r="C24" s="4">
        <v>5.2883043825008125</v>
      </c>
      <c r="D24" s="5"/>
    </row>
    <row r="25">
      <c r="A25" s="5"/>
      <c r="B25" s="5" t="s">
        <v>52</v>
      </c>
      <c r="C25" s="4">
        <v>6.8710065095738155</v>
      </c>
      <c r="D25" s="5"/>
    </row>
    <row r="26">
      <c r="A26" s="5"/>
      <c r="B26" s="5" t="s">
        <v>54</v>
      </c>
      <c r="C26" s="4">
        <v>0.5441045768899243</v>
      </c>
      <c r="D26" s="5"/>
    </row>
    <row r="27">
      <c r="A27" s="5"/>
      <c r="B27" s="5" t="s">
        <v>57</v>
      </c>
      <c r="C27" s="4">
        <v>0.11412740212826361</v>
      </c>
      <c r="D27" s="5"/>
    </row>
    <row r="28">
      <c r="A28" s="5"/>
      <c r="B28" s="5" t="s">
        <v>61</v>
      </c>
      <c r="C28" s="4">
        <v>2.3681665532552345</v>
      </c>
      <c r="D28" s="5"/>
    </row>
    <row r="29">
      <c r="A29" s="5"/>
      <c r="B29" s="5" t="s">
        <v>62</v>
      </c>
      <c r="C29" s="4">
        <v>2.821930209190329</v>
      </c>
      <c r="D29" s="5"/>
    </row>
    <row r="30">
      <c r="A30" s="5"/>
      <c r="B30" s="5" t="s">
        <v>63</v>
      </c>
      <c r="C30" s="4">
        <v>3.0642912405002902</v>
      </c>
      <c r="D30" s="5"/>
    </row>
    <row r="31">
      <c r="A31" s="5"/>
      <c r="B31" s="5" t="s">
        <v>69</v>
      </c>
      <c r="C31" s="4">
        <v>4.56295920047128</v>
      </c>
      <c r="D31" s="5"/>
    </row>
    <row r="32">
      <c r="A32" s="5"/>
      <c r="B32" s="5" t="s">
        <v>73</v>
      </c>
      <c r="C32" s="4">
        <v>0.4257937976625971</v>
      </c>
      <c r="D32" s="5"/>
    </row>
    <row r="33">
      <c r="A33" s="5"/>
      <c r="B33" s="5" t="s">
        <v>78</v>
      </c>
      <c r="C33" s="4">
        <v>0.14208590549461717</v>
      </c>
      <c r="D33" s="5"/>
    </row>
    <row r="34">
      <c r="A34" s="5"/>
      <c r="B34" s="5" t="s">
        <v>79</v>
      </c>
      <c r="C34" s="4">
        <v>3.5807820904827676</v>
      </c>
      <c r="D34" s="5"/>
    </row>
    <row r="35">
      <c r="A35" s="5"/>
      <c r="B35" s="5" t="s">
        <v>81</v>
      </c>
      <c r="C35" s="4">
        <v>0.284079707383525</v>
      </c>
      <c r="D35" s="5"/>
    </row>
    <row r="36">
      <c r="A36" s="5"/>
      <c r="B36" s="5" t="s">
        <v>85</v>
      </c>
      <c r="C36" s="4">
        <v>3.271357927776841</v>
      </c>
      <c r="D36" s="5"/>
    </row>
    <row r="37">
      <c r="A37" s="5"/>
      <c r="B37" s="5" t="s">
        <v>86</v>
      </c>
      <c r="C37" s="4">
        <v>2.7593833582296643</v>
      </c>
      <c r="D37" s="5"/>
    </row>
    <row r="38">
      <c r="A38" s="5"/>
      <c r="B38" s="5" t="s">
        <v>89</v>
      </c>
      <c r="C38" s="4">
        <v>1.9140894397040464</v>
      </c>
      <c r="D38" s="5"/>
    </row>
    <row r="39">
      <c r="A39" s="5"/>
      <c r="B39" s="5" t="s">
        <v>90</v>
      </c>
      <c r="C39" s="4">
        <v>3.9075390628788687</v>
      </c>
      <c r="D39" s="5"/>
    </row>
    <row r="40">
      <c r="A40" s="5"/>
      <c r="B40" s="5" t="s">
        <v>94</v>
      </c>
      <c r="C40" s="4">
        <v>2.2170843542867686</v>
      </c>
      <c r="D40" s="5"/>
    </row>
    <row r="41">
      <c r="A41" s="5"/>
      <c r="B41" s="5" t="s">
        <v>95</v>
      </c>
      <c r="C41" s="4">
        <v>2.1124246639742856</v>
      </c>
      <c r="D41" s="5"/>
    </row>
    <row r="42">
      <c r="A42" s="5"/>
      <c r="B42" s="5" t="s">
        <v>96</v>
      </c>
      <c r="C42" s="4">
        <v>3.085778750443517</v>
      </c>
      <c r="D42" s="5"/>
    </row>
    <row r="43">
      <c r="A43" s="5"/>
      <c r="B43" s="5" t="s">
        <v>97</v>
      </c>
      <c r="C43" s="4">
        <v>4.997763189449466</v>
      </c>
      <c r="D43" s="5"/>
    </row>
    <row r="44">
      <c r="A44" s="5"/>
      <c r="B44" s="5" t="s">
        <v>101</v>
      </c>
      <c r="C44" s="4">
        <v>0.18404793255736587</v>
      </c>
      <c r="D44" s="5"/>
    </row>
    <row r="45">
      <c r="A45" s="5"/>
      <c r="B45" s="5" t="s">
        <v>103</v>
      </c>
      <c r="C45" s="4">
        <v>0.35449922760041197</v>
      </c>
      <c r="D45" s="5"/>
    </row>
    <row r="46">
      <c r="A46" s="5"/>
      <c r="B46" s="5" t="s">
        <v>104</v>
      </c>
      <c r="C46" s="4">
        <v>11.730635252984577</v>
      </c>
      <c r="D46" s="5"/>
    </row>
    <row r="47">
      <c r="A47" s="5"/>
      <c r="B47" s="5" t="s">
        <v>105</v>
      </c>
      <c r="C47" s="4">
        <v>1.0659762729108362</v>
      </c>
      <c r="D47" s="5"/>
    </row>
    <row r="48">
      <c r="A48" s="5"/>
      <c r="B48" s="5" t="s">
        <v>106</v>
      </c>
      <c r="C48" s="4">
        <v>5.785607643723636</v>
      </c>
      <c r="D48" s="5"/>
    </row>
    <row r="49">
      <c r="A49" s="5"/>
      <c r="B49" s="5" t="s">
        <v>108</v>
      </c>
      <c r="C49" s="4">
        <v>1.2294990008063669</v>
      </c>
      <c r="D49" s="5"/>
    </row>
    <row r="50">
      <c r="A50" s="5"/>
      <c r="B50" s="5" t="s">
        <v>109</v>
      </c>
      <c r="C50" s="4">
        <v>1.0724237931193576</v>
      </c>
      <c r="D50" s="5"/>
    </row>
    <row r="51">
      <c r="A51" s="5"/>
      <c r="B51" s="5" t="s">
        <v>122</v>
      </c>
      <c r="C51" s="4">
        <v>4.664917182039076</v>
      </c>
      <c r="D51" s="5"/>
    </row>
    <row r="52">
      <c r="A52" s="5"/>
      <c r="B52" s="5" t="s">
        <v>123</v>
      </c>
      <c r="C52" s="4">
        <v>4.3840040086722265</v>
      </c>
      <c r="D52" s="5"/>
    </row>
    <row r="53">
      <c r="A53" s="5"/>
      <c r="B53" s="5" t="s">
        <v>124</v>
      </c>
      <c r="C53" s="4">
        <v>3.259517204010911</v>
      </c>
      <c r="D53" s="5"/>
    </row>
    <row r="54">
      <c r="A54" s="5"/>
      <c r="B54" s="5" t="s">
        <v>126</v>
      </c>
      <c r="C54" s="4">
        <v>3.0191827933105664</v>
      </c>
      <c r="D54" s="5"/>
    </row>
    <row r="55">
      <c r="A55" s="5"/>
      <c r="B55" s="5" t="s">
        <v>131</v>
      </c>
      <c r="C55" s="4">
        <v>2.452699340755512</v>
      </c>
      <c r="D55" s="5"/>
    </row>
    <row r="56">
      <c r="A56" s="5"/>
      <c r="B56" s="5" t="s">
        <v>137</v>
      </c>
      <c r="C56" s="4">
        <v>2.1470467829793085</v>
      </c>
      <c r="D56" s="5"/>
    </row>
    <row r="57">
      <c r="A57" s="5"/>
      <c r="B57" s="5" t="s">
        <v>138</v>
      </c>
      <c r="C57" s="4">
        <v>3.5852079964907553</v>
      </c>
      <c r="D57" s="5"/>
    </row>
    <row r="58">
      <c r="A58" s="5"/>
      <c r="B58" s="5" t="s">
        <v>139</v>
      </c>
      <c r="C58" s="4">
        <v>1.439756652592584</v>
      </c>
      <c r="D58" s="5"/>
    </row>
    <row r="59">
      <c r="A59" s="5"/>
      <c r="B59" s="5" t="s">
        <v>142</v>
      </c>
      <c r="C59" s="4">
        <v>1.8612754401620442</v>
      </c>
      <c r="D59" s="5"/>
    </row>
    <row r="60">
      <c r="A60" s="5"/>
      <c r="B60" s="5" t="s">
        <v>143</v>
      </c>
      <c r="C60" s="4">
        <v>0.5184173671113836</v>
      </c>
      <c r="D60" s="5"/>
    </row>
    <row r="61">
      <c r="A61" s="5"/>
      <c r="B61" s="5" t="s">
        <v>147</v>
      </c>
      <c r="C61" s="4">
        <v>5.766697479351222</v>
      </c>
      <c r="D61" s="5"/>
    </row>
    <row r="62">
      <c r="A62" s="5"/>
      <c r="B62" s="5" t="s">
        <v>148</v>
      </c>
      <c r="C62" s="4">
        <v>3.749793946266265</v>
      </c>
      <c r="D62" s="5"/>
    </row>
    <row r="63">
      <c r="A63" s="5"/>
      <c r="B63" s="5" t="s">
        <v>153</v>
      </c>
      <c r="C63" s="4">
        <v>4.141222783717366</v>
      </c>
      <c r="D63" s="5"/>
    </row>
    <row r="64">
      <c r="A64" s="5"/>
      <c r="B64" s="5" t="s">
        <v>158</v>
      </c>
      <c r="C64" s="4">
        <v>2.227655699599582</v>
      </c>
      <c r="D64" s="5"/>
    </row>
    <row r="65">
      <c r="A65" s="5"/>
      <c r="B65" s="5" t="s">
        <v>159</v>
      </c>
      <c r="C65" s="4">
        <v>3.0184166749217525</v>
      </c>
      <c r="D65" s="5"/>
    </row>
    <row r="66">
      <c r="A66" s="5"/>
      <c r="B66" s="5" t="s">
        <v>160</v>
      </c>
      <c r="C66" s="4">
        <v>0.2658223970010915</v>
      </c>
      <c r="D66" s="5"/>
    </row>
    <row r="67">
      <c r="A67" s="5"/>
      <c r="B67" s="5" t="s">
        <v>161</v>
      </c>
      <c r="C67" s="4">
        <v>0.1624984363915032</v>
      </c>
      <c r="D67" s="5"/>
    </row>
    <row r="68">
      <c r="A68" s="5"/>
      <c r="B68" s="5" t="s">
        <v>164</v>
      </c>
      <c r="C68" s="4">
        <v>0.046631685228994225</v>
      </c>
      <c r="D68" s="5"/>
    </row>
    <row r="69">
      <c r="A69" s="5"/>
      <c r="B69" s="5" t="s">
        <v>165</v>
      </c>
      <c r="C69" s="4">
        <v>0.2114160320942142</v>
      </c>
      <c r="D69" s="5"/>
    </row>
    <row r="70">
      <c r="A70" s="5"/>
      <c r="B70" s="5" t="s">
        <v>166</v>
      </c>
      <c r="C70" s="4">
        <v>3.3231522148407797</v>
      </c>
      <c r="D70" s="5"/>
    </row>
    <row r="71">
      <c r="A71" s="5"/>
      <c r="B71" s="5" t="s">
        <v>170</v>
      </c>
      <c r="C71" s="4">
        <v>4.025347607700543</v>
      </c>
      <c r="D71" s="5"/>
    </row>
    <row r="72">
      <c r="A72" s="5"/>
      <c r="B72" s="5" t="s">
        <v>179</v>
      </c>
      <c r="C72" s="4">
        <v>4.78903853555102</v>
      </c>
      <c r="D72" s="5"/>
    </row>
    <row r="73">
      <c r="A73" s="5"/>
      <c r="B73" s="5" t="s">
        <v>180</v>
      </c>
      <c r="C73" s="4">
        <v>2.6838045854994705</v>
      </c>
      <c r="D73" s="5"/>
    </row>
    <row r="74">
      <c r="A74" s="5"/>
      <c r="B74" s="5" t="s">
        <v>181</v>
      </c>
      <c r="C74" s="4">
        <v>2.6494121387289153</v>
      </c>
      <c r="D74" s="5"/>
    </row>
    <row r="75">
      <c r="A75" s="5"/>
      <c r="B75" s="5" t="s">
        <v>182</v>
      </c>
      <c r="C75" s="4">
        <v>0.5550623542932195</v>
      </c>
      <c r="D75" s="5"/>
    </row>
    <row r="76">
      <c r="A76" s="5"/>
      <c r="B76" s="5" t="s">
        <v>183</v>
      </c>
      <c r="C76" s="4">
        <v>1.268721402274559</v>
      </c>
      <c r="D76" s="5"/>
    </row>
    <row r="77">
      <c r="A77" s="5"/>
      <c r="B77" s="5" t="s">
        <v>188</v>
      </c>
      <c r="C77" s="4">
        <v>4.593794313077583</v>
      </c>
      <c r="D77" s="5"/>
    </row>
    <row r="78">
      <c r="A78" s="5"/>
      <c r="B78" s="5" t="s">
        <v>190</v>
      </c>
      <c r="C78" s="4">
        <v>0.3832889581030845</v>
      </c>
      <c r="D78" s="5"/>
    </row>
    <row r="79">
      <c r="A79" s="5"/>
      <c r="B79" s="5" t="s">
        <v>192</v>
      </c>
      <c r="C79" s="4">
        <v>3.5039967904140368</v>
      </c>
      <c r="D79" s="5"/>
    </row>
    <row r="80">
      <c r="A80" s="5"/>
      <c r="B80" s="5" t="s">
        <v>194</v>
      </c>
      <c r="C80" s="4">
        <v>5.157985840211388</v>
      </c>
      <c r="D80" s="5"/>
    </row>
    <row r="81">
      <c r="A81" s="5"/>
      <c r="B81" s="5" t="s">
        <v>195</v>
      </c>
      <c r="C81" s="4">
        <v>1.668038098228767</v>
      </c>
      <c r="D81" s="5"/>
    </row>
    <row r="82">
      <c r="A82" s="5"/>
      <c r="B82" s="5" t="s">
        <v>200</v>
      </c>
      <c r="C82" s="4">
        <v>1.8060109840254512</v>
      </c>
      <c r="D82" s="5"/>
    </row>
    <row r="83">
      <c r="A83" s="5"/>
      <c r="B83" s="5" t="s">
        <v>201</v>
      </c>
      <c r="C83" s="4">
        <v>1.9433455778767716</v>
      </c>
      <c r="D83" s="5"/>
    </row>
    <row r="84">
      <c r="A84" s="5"/>
      <c r="B84" s="5" t="s">
        <v>205</v>
      </c>
      <c r="C84" s="4">
        <v>4.818257962696635</v>
      </c>
      <c r="D84" s="5"/>
    </row>
    <row r="85">
      <c r="A85" s="5"/>
      <c r="B85" s="5" t="s">
        <v>206</v>
      </c>
      <c r="C85" s="4">
        <v>0.043338244198190025</v>
      </c>
      <c r="D85" s="5"/>
    </row>
    <row r="86">
      <c r="A86" s="5"/>
      <c r="B86" s="5" t="s">
        <v>208</v>
      </c>
      <c r="C86" s="4">
        <v>0.2737404580152672</v>
      </c>
      <c r="D86" s="5"/>
    </row>
    <row r="87">
      <c r="A87" s="5"/>
      <c r="B87" s="5" t="s">
        <v>209</v>
      </c>
      <c r="C87" s="4">
        <v>0.8352570141306573</v>
      </c>
      <c r="D87" s="5"/>
    </row>
    <row r="88">
      <c r="A88" s="5"/>
      <c r="B88" s="5" t="s">
        <v>211</v>
      </c>
      <c r="C88" s="4">
        <v>3.091354128688022</v>
      </c>
      <c r="D88" s="5"/>
    </row>
    <row r="89">
      <c r="A89" s="5"/>
      <c r="B89" s="5" t="s">
        <v>213</v>
      </c>
      <c r="C89" s="4">
        <v>2.485755304169439</v>
      </c>
      <c r="D89" s="5"/>
    </row>
    <row r="90">
      <c r="A90" s="5"/>
      <c r="B90" s="5" t="s">
        <v>214</v>
      </c>
      <c r="C90" s="4">
        <v>2.014859000232172</v>
      </c>
      <c r="D90" s="5"/>
    </row>
    <row r="91">
      <c r="A91" s="5"/>
      <c r="B91" s="5" t="s">
        <v>217</v>
      </c>
      <c r="C91" s="4">
        <v>5.531615506820761</v>
      </c>
      <c r="D91" s="5"/>
    </row>
    <row r="92">
      <c r="A92" s="5"/>
      <c r="B92" s="5" t="s">
        <v>218</v>
      </c>
      <c r="C92" s="4">
        <v>5.0434472968349535</v>
      </c>
      <c r="D92" s="5"/>
    </row>
    <row r="93">
      <c r="A93" s="5"/>
      <c r="B93" s="5" t="s">
        <v>219</v>
      </c>
      <c r="C93" s="4">
        <v>3.0759523377633524</v>
      </c>
      <c r="D93" s="5"/>
    </row>
    <row r="94">
      <c r="A94" s="5" t="s">
        <v>273</v>
      </c>
      <c r="B94" s="5" t="s">
        <v>5</v>
      </c>
      <c r="C94" s="4">
        <v>0.5716558925907509</v>
      </c>
      <c r="D94" s="5"/>
    </row>
    <row r="95">
      <c r="A95" s="5"/>
      <c r="B95" s="5" t="s">
        <v>12</v>
      </c>
      <c r="C95" s="4">
        <v>0.589039037830558</v>
      </c>
      <c r="D95" s="5"/>
    </row>
    <row r="96">
      <c r="A96" s="5"/>
      <c r="B96" s="5" t="s">
        <v>15</v>
      </c>
      <c r="C96" s="4">
        <v>0.26524507349303067</v>
      </c>
      <c r="D96" s="5"/>
    </row>
    <row r="97">
      <c r="A97" s="5"/>
      <c r="B97" s="5" t="s">
        <v>18</v>
      </c>
      <c r="C97" s="4">
        <v>7.89672885053512</v>
      </c>
      <c r="D97" s="5"/>
    </row>
    <row r="98">
      <c r="A98" s="5"/>
      <c r="B98" s="5" t="s">
        <v>21</v>
      </c>
      <c r="C98" s="4">
        <v>0.14417565259819468</v>
      </c>
      <c r="D98" s="5"/>
    </row>
    <row r="99">
      <c r="A99" s="5"/>
      <c r="B99" s="5" t="s">
        <v>28</v>
      </c>
      <c r="C99" s="4">
        <v>0.005475743292229705</v>
      </c>
      <c r="D99" s="5"/>
    </row>
    <row r="100">
      <c r="A100" s="5"/>
      <c r="B100" s="5" t="s">
        <v>29</v>
      </c>
      <c r="C100" s="4">
        <v>3.583600205360689</v>
      </c>
      <c r="D100" s="5"/>
    </row>
    <row r="101">
      <c r="A101" s="5"/>
      <c r="B101" s="5" t="s">
        <v>33</v>
      </c>
      <c r="C101" s="4">
        <v>-0.1673592738822382</v>
      </c>
      <c r="D101" s="5"/>
    </row>
    <row r="102">
      <c r="A102" s="5"/>
      <c r="B102" s="5" t="s">
        <v>41</v>
      </c>
      <c r="C102" s="4">
        <v>1.9527651840460165</v>
      </c>
      <c r="D102" s="5"/>
    </row>
    <row r="103">
      <c r="A103" s="5"/>
      <c r="B103" s="5" t="s">
        <v>50</v>
      </c>
      <c r="C103" s="4">
        <v>4.443945106233179</v>
      </c>
      <c r="D103" s="5"/>
    </row>
    <row r="104">
      <c r="A104" s="5"/>
      <c r="B104" s="5" t="s">
        <v>51</v>
      </c>
      <c r="C104" s="4">
        <v>2.7923428771160137</v>
      </c>
      <c r="D104" s="5"/>
    </row>
    <row r="105">
      <c r="A105" s="5"/>
      <c r="B105" s="5" t="s">
        <v>53</v>
      </c>
      <c r="C105" s="4">
        <v>-0.0545809470648747</v>
      </c>
      <c r="D105" s="5"/>
    </row>
    <row r="106">
      <c r="A106" s="5"/>
      <c r="B106" s="5" t="s">
        <v>56</v>
      </c>
      <c r="C106" s="4">
        <v>1.2204078500912205</v>
      </c>
      <c r="D106" s="5"/>
    </row>
    <row r="107">
      <c r="A107" s="5"/>
      <c r="B107" s="5" t="s">
        <v>58</v>
      </c>
      <c r="C107" s="4">
        <v>0.27334268931171546</v>
      </c>
      <c r="D107" s="5"/>
    </row>
    <row r="108">
      <c r="A108" s="5"/>
      <c r="B108" s="5" t="s">
        <v>59</v>
      </c>
      <c r="C108" s="4">
        <v>11.847437924300195</v>
      </c>
      <c r="D108" s="5"/>
    </row>
    <row r="109">
      <c r="A109" s="5"/>
      <c r="B109" s="5" t="s">
        <v>64</v>
      </c>
      <c r="C109" s="4">
        <v>1.2334818458734302</v>
      </c>
      <c r="D109" s="5"/>
    </row>
    <row r="110">
      <c r="A110" s="5"/>
      <c r="B110" s="5" t="s">
        <v>65</v>
      </c>
      <c r="C110" s="4">
        <v>5.36183642381406</v>
      </c>
      <c r="D110" s="5"/>
    </row>
    <row r="111">
      <c r="A111" s="5"/>
      <c r="B111" s="5" t="s">
        <v>66</v>
      </c>
      <c r="C111" s="4">
        <v>2.384176805851028</v>
      </c>
      <c r="D111" s="5"/>
    </row>
    <row r="112">
      <c r="A112" s="5"/>
      <c r="B112" s="5" t="s">
        <v>67</v>
      </c>
      <c r="C112" s="4">
        <v>0.09738456192423343</v>
      </c>
      <c r="D112" s="5"/>
    </row>
    <row r="113">
      <c r="A113" s="5"/>
      <c r="B113" s="5" t="s">
        <v>68</v>
      </c>
      <c r="C113" s="4">
        <v>2.453811783851716</v>
      </c>
      <c r="D113" s="5"/>
    </row>
    <row r="114">
      <c r="A114" s="5"/>
      <c r="B114" s="5" t="s">
        <v>72</v>
      </c>
      <c r="C114" s="4">
        <v>0.2483069707339252</v>
      </c>
      <c r="D114" s="5"/>
    </row>
    <row r="115">
      <c r="A115" s="5"/>
      <c r="B115" s="5" t="s">
        <v>75</v>
      </c>
      <c r="C115" s="4">
        <v>3.533411019761241</v>
      </c>
      <c r="D115" s="5"/>
    </row>
    <row r="116">
      <c r="A116" s="5"/>
      <c r="B116" s="5" t="s">
        <v>76</v>
      </c>
      <c r="C116" s="4">
        <v>5.3199844244586245</v>
      </c>
      <c r="D116" s="5"/>
    </row>
    <row r="117">
      <c r="A117" s="5"/>
      <c r="B117" s="5" t="s">
        <v>77</v>
      </c>
      <c r="C117" s="4">
        <v>0.021153170945797675</v>
      </c>
      <c r="D117" s="5"/>
    </row>
    <row r="118">
      <c r="A118" s="5"/>
      <c r="B118" s="5" t="s">
        <v>87</v>
      </c>
      <c r="C118" s="4">
        <v>2.4853531567621654</v>
      </c>
      <c r="D118" s="5"/>
    </row>
    <row r="119">
      <c r="A119" s="5"/>
      <c r="B119" s="5" t="s">
        <v>91</v>
      </c>
      <c r="C119" s="4">
        <v>1.4172493569942226</v>
      </c>
      <c r="D119" s="5"/>
    </row>
    <row r="120">
      <c r="A120" s="5"/>
      <c r="B120" s="5" t="s">
        <v>92</v>
      </c>
      <c r="C120" s="4">
        <v>-0.03136100803003993</v>
      </c>
      <c r="D120" s="5"/>
    </row>
    <row r="121">
      <c r="A121" s="5"/>
      <c r="B121" s="5" t="s">
        <v>98</v>
      </c>
      <c r="C121" s="4">
        <v>0.7817107402955525</v>
      </c>
      <c r="D121" s="5"/>
    </row>
    <row r="122">
      <c r="A122" s="5"/>
      <c r="B122" s="5" t="s">
        <v>100</v>
      </c>
      <c r="C122" s="4">
        <v>3.359041068674847</v>
      </c>
      <c r="D122" s="5"/>
    </row>
    <row r="123">
      <c r="A123" s="5"/>
      <c r="B123" s="5" t="s">
        <v>102</v>
      </c>
      <c r="C123" s="4">
        <v>0.7155941951691055</v>
      </c>
      <c r="D123" s="5"/>
    </row>
    <row r="124">
      <c r="A124" s="5"/>
      <c r="B124" s="5" t="s">
        <v>110</v>
      </c>
      <c r="C124" s="4">
        <v>0.8176963708031509</v>
      </c>
      <c r="D124" s="5"/>
    </row>
    <row r="125">
      <c r="A125" s="5"/>
      <c r="B125" s="5" t="s">
        <v>111</v>
      </c>
      <c r="C125" s="4">
        <v>13.146039349321674</v>
      </c>
      <c r="D125" s="5"/>
    </row>
    <row r="126">
      <c r="A126" s="5"/>
      <c r="B126" s="5" t="s">
        <v>112</v>
      </c>
      <c r="C126" s="4">
        <v>2.0965317865856465</v>
      </c>
      <c r="D126" s="5"/>
    </row>
    <row r="127">
      <c r="A127" s="5"/>
      <c r="B127" s="5" t="s">
        <v>113</v>
      </c>
      <c r="C127" s="4">
        <v>-0.10397556977226083</v>
      </c>
      <c r="D127" s="5"/>
    </row>
    <row r="128">
      <c r="A128" s="5"/>
      <c r="B128" s="5" t="s">
        <v>114</v>
      </c>
      <c r="C128" s="4">
        <v>2.177875018251165</v>
      </c>
      <c r="D128" s="5"/>
    </row>
    <row r="129">
      <c r="A129" s="5"/>
      <c r="B129" s="5" t="s">
        <v>115</v>
      </c>
      <c r="C129" s="4">
        <v>2.035610319076714</v>
      </c>
      <c r="D129" s="5"/>
    </row>
    <row r="130">
      <c r="A130" s="5"/>
      <c r="B130" s="5" t="s">
        <v>116</v>
      </c>
      <c r="C130" s="4">
        <v>3.518967602205135</v>
      </c>
      <c r="D130" s="5"/>
    </row>
    <row r="131">
      <c r="A131" s="5"/>
      <c r="B131" s="5" t="s">
        <v>117</v>
      </c>
      <c r="C131" s="4">
        <v>3.719302158899852</v>
      </c>
      <c r="D131" s="5"/>
    </row>
    <row r="132">
      <c r="A132" s="5"/>
      <c r="B132" s="5" t="s">
        <v>119</v>
      </c>
      <c r="C132" s="4">
        <v>0.011451656439509817</v>
      </c>
      <c r="D132" s="5"/>
    </row>
    <row r="133">
      <c r="A133" s="5"/>
      <c r="B133" s="5" t="s">
        <v>129</v>
      </c>
      <c r="C133" s="4">
        <v>4.580665002220071</v>
      </c>
      <c r="D133" s="5"/>
    </row>
    <row r="134">
      <c r="A134" s="5"/>
      <c r="B134" s="5" t="s">
        <v>130</v>
      </c>
      <c r="C134" s="4">
        <v>0.8608794836630993</v>
      </c>
      <c r="D134" s="5"/>
    </row>
    <row r="135">
      <c r="A135" s="5"/>
      <c r="B135" s="5" t="s">
        <v>133</v>
      </c>
      <c r="C135" s="4">
        <v>0.2804200153545641</v>
      </c>
      <c r="D135" s="5"/>
    </row>
    <row r="136">
      <c r="A136" s="5"/>
      <c r="B136" s="5" t="s">
        <v>135</v>
      </c>
      <c r="C136" s="4">
        <v>2.4034584874104308</v>
      </c>
      <c r="D136" s="5"/>
    </row>
    <row r="137">
      <c r="A137" s="5"/>
      <c r="B137" s="5" t="s">
        <v>140</v>
      </c>
      <c r="C137" s="4">
        <v>3.61356462343503</v>
      </c>
      <c r="D137" s="5"/>
    </row>
    <row r="138">
      <c r="A138" s="5"/>
      <c r="B138" s="5" t="s">
        <v>145</v>
      </c>
      <c r="C138" s="4">
        <v>1.13862888945105</v>
      </c>
      <c r="D138" s="5"/>
    </row>
    <row r="139">
      <c r="A139" s="5"/>
      <c r="B139" s="5" t="s">
        <v>146</v>
      </c>
      <c r="C139" s="4">
        <v>2.683447881191896</v>
      </c>
      <c r="D139" s="5"/>
    </row>
    <row r="140">
      <c r="A140" s="5"/>
      <c r="B140" s="5" t="s">
        <v>149</v>
      </c>
      <c r="C140" s="4">
        <v>0.2934130234366671</v>
      </c>
      <c r="D140" s="5"/>
    </row>
    <row r="141">
      <c r="A141" s="5"/>
      <c r="B141" s="5" t="s">
        <v>151</v>
      </c>
      <c r="C141" s="4">
        <v>0.5021267779112201</v>
      </c>
      <c r="D141" s="5"/>
    </row>
    <row r="142">
      <c r="A142" s="5"/>
      <c r="B142" s="5" t="s">
        <v>152</v>
      </c>
      <c r="C142" s="4">
        <v>7.525211834453377</v>
      </c>
      <c r="D142" s="5"/>
    </row>
    <row r="143">
      <c r="A143" s="5"/>
      <c r="B143" s="5" t="s">
        <v>155</v>
      </c>
      <c r="C143" s="4">
        <v>2.8128258755511744</v>
      </c>
      <c r="D143" s="5"/>
    </row>
    <row r="144">
      <c r="A144" s="5"/>
      <c r="B144" s="5" t="s">
        <v>156</v>
      </c>
      <c r="C144" s="4">
        <v>3.919902160783115</v>
      </c>
      <c r="D144" s="5"/>
    </row>
    <row r="145">
      <c r="A145" s="5"/>
      <c r="B145" s="5" t="s">
        <v>157</v>
      </c>
      <c r="C145" s="4">
        <v>2.5060737536328372</v>
      </c>
      <c r="D145" s="5"/>
    </row>
    <row r="146">
      <c r="A146" s="5"/>
      <c r="B146" s="5" t="s">
        <v>162</v>
      </c>
      <c r="C146" s="4">
        <v>0.39168363019508057</v>
      </c>
      <c r="D146" s="5"/>
    </row>
    <row r="147">
      <c r="A147" s="5"/>
      <c r="B147" s="5" t="s">
        <v>163</v>
      </c>
      <c r="C147" s="4">
        <v>76.59366842543737</v>
      </c>
      <c r="D147" s="5"/>
    </row>
    <row r="148">
      <c r="A148" s="5"/>
      <c r="B148" s="5" t="s">
        <v>171</v>
      </c>
      <c r="C148" s="4">
        <v>0.03918275545444248</v>
      </c>
      <c r="D148" s="5"/>
    </row>
    <row r="149">
      <c r="A149" s="5"/>
      <c r="B149" s="5" t="s">
        <v>173</v>
      </c>
      <c r="C149" s="4">
        <v>2.488234650998344</v>
      </c>
      <c r="D149" s="5"/>
    </row>
    <row r="150">
      <c r="A150" s="5"/>
      <c r="B150" s="5" t="s">
        <v>174</v>
      </c>
      <c r="C150" s="4">
        <v>2.453478498542274</v>
      </c>
      <c r="D150" s="5"/>
    </row>
    <row r="151">
      <c r="A151" s="5"/>
      <c r="B151" s="5" t="s">
        <v>176</v>
      </c>
      <c r="C151" s="4">
        <v>0.3418632062427254</v>
      </c>
      <c r="D151" s="5"/>
    </row>
    <row r="152">
      <c r="A152" s="5"/>
      <c r="B152" s="5" t="s">
        <v>177</v>
      </c>
      <c r="C152" s="4">
        <v>0.3266816850926347</v>
      </c>
      <c r="D152" s="5"/>
    </row>
    <row r="153">
      <c r="A153" s="5"/>
      <c r="B153" s="5" t="s">
        <v>191</v>
      </c>
      <c r="C153" s="4">
        <v>0.6213302346341201</v>
      </c>
      <c r="D153" s="5"/>
    </row>
    <row r="154">
      <c r="A154" s="5"/>
      <c r="B154" s="5" t="s">
        <v>193</v>
      </c>
      <c r="C154" s="4">
        <v>3.615864262207221</v>
      </c>
      <c r="D154" s="5"/>
    </row>
    <row r="155">
      <c r="A155" s="5"/>
      <c r="B155" s="5" t="s">
        <v>196</v>
      </c>
      <c r="C155" s="4">
        <v>1.8327323452633737</v>
      </c>
      <c r="D155" s="5"/>
    </row>
    <row r="156">
      <c r="A156" s="5"/>
      <c r="B156" s="5" t="s">
        <v>197</v>
      </c>
      <c r="C156" s="4">
        <v>4.181799164430313</v>
      </c>
      <c r="D156" s="5"/>
    </row>
    <row r="157">
      <c r="A157" s="5"/>
      <c r="B157" s="5" t="s">
        <v>199</v>
      </c>
      <c r="C157" s="4">
        <v>0.6175351473413</v>
      </c>
      <c r="D157" s="5"/>
    </row>
    <row r="158">
      <c r="A158" s="5"/>
      <c r="B158" s="5" t="s">
        <v>202</v>
      </c>
      <c r="C158" s="4">
        <v>3.228837140247661</v>
      </c>
      <c r="D158" s="5"/>
    </row>
    <row r="159">
      <c r="A159" s="5"/>
      <c r="B159" s="5" t="s">
        <v>207</v>
      </c>
      <c r="C159" s="4">
        <v>70.58114425815097</v>
      </c>
      <c r="D159" s="5"/>
    </row>
    <row r="160">
      <c r="A160" s="5"/>
      <c r="B160" s="5" t="s">
        <v>210</v>
      </c>
      <c r="C160" s="4">
        <v>0.34348844664158323</v>
      </c>
      <c r="D160" s="5"/>
    </row>
    <row r="161">
      <c r="A161" s="5"/>
      <c r="B161" s="5" t="s">
        <v>216</v>
      </c>
      <c r="C161" s="4">
        <v>1.4280418835252202</v>
      </c>
      <c r="D161" s="5"/>
    </row>
    <row r="162">
      <c r="A162" s="5" t="s">
        <v>274</v>
      </c>
      <c r="B162" s="5" t="s">
        <v>7</v>
      </c>
      <c r="C162" s="4">
        <v>1.471613768439875</v>
      </c>
      <c r="D162" s="5"/>
    </row>
    <row r="163">
      <c r="A163" s="5"/>
      <c r="B163" s="5" t="s">
        <v>8</v>
      </c>
      <c r="C163" s="4">
        <v>7.136698212407992</v>
      </c>
      <c r="D163" s="5"/>
    </row>
    <row r="164">
      <c r="A164" s="5"/>
      <c r="B164" s="5" t="s">
        <v>10</v>
      </c>
      <c r="C164" s="4">
        <v>0.6518173479848209</v>
      </c>
      <c r="D164" s="5"/>
    </row>
    <row r="165">
      <c r="A165" s="5"/>
      <c r="B165" s="5" t="s">
        <v>13</v>
      </c>
      <c r="C165" s="4">
        <v>0.977112996613379</v>
      </c>
      <c r="D165" s="5"/>
    </row>
    <row r="166">
      <c r="A166" s="5"/>
      <c r="B166" s="5" t="s">
        <v>17</v>
      </c>
      <c r="C166" s="4">
        <v>2.403311639743116</v>
      </c>
      <c r="D166" s="5"/>
    </row>
    <row r="167">
      <c r="A167" s="5"/>
      <c r="B167" s="5" t="s">
        <v>20</v>
      </c>
      <c r="C167" s="4">
        <v>0.22003698682939718</v>
      </c>
      <c r="D167" s="5"/>
    </row>
    <row r="168">
      <c r="A168" s="5"/>
      <c r="B168" s="5" t="s">
        <v>23</v>
      </c>
      <c r="C168" s="4">
        <v>3.279681990407149</v>
      </c>
      <c r="D168" s="5"/>
    </row>
    <row r="169">
      <c r="A169" s="5"/>
      <c r="B169" s="5" t="s">
        <v>25</v>
      </c>
      <c r="C169" s="4">
        <v>0.5253506444275967</v>
      </c>
      <c r="D169" s="5"/>
    </row>
    <row r="170">
      <c r="A170" s="5"/>
      <c r="B170" s="5" t="s">
        <v>26</v>
      </c>
      <c r="C170" s="4">
        <v>2.436238196390639</v>
      </c>
      <c r="D170" s="5"/>
    </row>
    <row r="171">
      <c r="A171" s="5"/>
      <c r="B171" s="5" t="s">
        <v>31</v>
      </c>
      <c r="C171" s="4">
        <v>3.671069182389937</v>
      </c>
      <c r="D171" s="5"/>
    </row>
    <row r="172">
      <c r="A172" s="5"/>
      <c r="B172" s="5" t="s">
        <v>32</v>
      </c>
      <c r="C172" s="4">
        <v>4.064167430699401</v>
      </c>
      <c r="D172" s="5"/>
    </row>
    <row r="173">
      <c r="A173" s="5"/>
      <c r="B173" s="5" t="s">
        <v>36</v>
      </c>
      <c r="C173" s="4">
        <v>1.4505723155448902</v>
      </c>
      <c r="D173" s="5"/>
    </row>
    <row r="174">
      <c r="A174" s="5"/>
      <c r="B174" s="5" t="s">
        <v>40</v>
      </c>
      <c r="C174" s="4">
        <v>7.149501661129568</v>
      </c>
      <c r="D174" s="5"/>
    </row>
    <row r="175">
      <c r="A175" s="5"/>
      <c r="B175" s="5" t="s">
        <v>44</v>
      </c>
      <c r="C175" s="4">
        <v>0.5002075662407046</v>
      </c>
      <c r="D175" s="5"/>
    </row>
    <row r="176">
      <c r="A176" s="5"/>
      <c r="B176" s="5" t="s">
        <v>48</v>
      </c>
      <c r="C176" s="4">
        <v>3.0574759736975214</v>
      </c>
      <c r="D176" s="5"/>
    </row>
    <row r="177">
      <c r="A177" s="5"/>
      <c r="B177" s="5" t="s">
        <v>55</v>
      </c>
      <c r="C177" s="4">
        <v>0.24558986108663258</v>
      </c>
      <c r="D177" s="5"/>
    </row>
    <row r="178">
      <c r="A178" s="5"/>
      <c r="B178" s="5" t="s">
        <v>60</v>
      </c>
      <c r="C178" s="4">
        <v>0.13812908441689686</v>
      </c>
      <c r="D178" s="5"/>
    </row>
    <row r="179">
      <c r="A179" s="5"/>
      <c r="B179" s="5" t="s">
        <v>70</v>
      </c>
      <c r="C179" s="4">
        <v>0.5402760277785917</v>
      </c>
      <c r="D179" s="5"/>
    </row>
    <row r="180">
      <c r="A180" s="5"/>
      <c r="B180" s="5" t="s">
        <v>71</v>
      </c>
      <c r="C180" s="4">
        <v>1.2597984128905102</v>
      </c>
      <c r="D180" s="5"/>
    </row>
    <row r="181">
      <c r="A181" s="5"/>
      <c r="B181" s="5" t="s">
        <v>74</v>
      </c>
      <c r="C181" s="4">
        <v>2.3369865305780975</v>
      </c>
      <c r="D181" s="5"/>
    </row>
    <row r="182">
      <c r="A182" s="5"/>
      <c r="B182" s="5" t="s">
        <v>80</v>
      </c>
      <c r="C182" s="4">
        <v>0.6563487339163881</v>
      </c>
      <c r="D182" s="5"/>
    </row>
    <row r="183">
      <c r="A183" s="5"/>
      <c r="B183" s="5" t="s">
        <v>82</v>
      </c>
      <c r="C183" s="4">
        <v>0.7343692307692308</v>
      </c>
      <c r="D183" s="5"/>
    </row>
    <row r="184">
      <c r="A184" s="5"/>
      <c r="B184" s="5" t="s">
        <v>83</v>
      </c>
      <c r="C184" s="4">
        <v>0.23690701482064258</v>
      </c>
      <c r="D184" s="5"/>
    </row>
    <row r="185">
      <c r="A185" s="5"/>
      <c r="B185" s="5" t="s">
        <v>84</v>
      </c>
      <c r="C185" s="4">
        <v>1.3323696512046026</v>
      </c>
      <c r="D185" s="5"/>
    </row>
    <row r="186">
      <c r="A186" s="5"/>
      <c r="B186" s="5" t="s">
        <v>88</v>
      </c>
      <c r="C186" s="4">
        <v>0.4187664611529967</v>
      </c>
      <c r="D186" s="5"/>
    </row>
    <row r="187">
      <c r="A187" s="5"/>
      <c r="B187" s="5" t="s">
        <v>93</v>
      </c>
      <c r="C187" s="4">
        <v>1.0872281772927654</v>
      </c>
      <c r="D187" s="5"/>
    </row>
    <row r="188">
      <c r="A188" s="5"/>
      <c r="B188" s="5" t="s">
        <v>99</v>
      </c>
      <c r="C188" s="4">
        <v>0.720225914709012</v>
      </c>
      <c r="D188" s="5"/>
    </row>
    <row r="189">
      <c r="A189" s="5"/>
      <c r="B189" s="5" t="s">
        <v>107</v>
      </c>
      <c r="C189" s="4">
        <v>1.6740250652077104</v>
      </c>
      <c r="D189" s="5"/>
    </row>
    <row r="190">
      <c r="A190" s="5"/>
      <c r="B190" s="5" t="s">
        <v>118</v>
      </c>
      <c r="C190" s="4">
        <v>1.3646586833627135</v>
      </c>
      <c r="D190" s="5"/>
    </row>
    <row r="191">
      <c r="A191" s="5"/>
      <c r="B191" s="5" t="s">
        <v>120</v>
      </c>
      <c r="C191" s="4">
        <v>1.0078956588209065</v>
      </c>
      <c r="D191" s="5"/>
    </row>
    <row r="192">
      <c r="A192" s="5"/>
      <c r="B192" s="5" t="s">
        <v>121</v>
      </c>
      <c r="C192" s="4">
        <v>2.9546490494186886</v>
      </c>
      <c r="D192" s="5"/>
    </row>
    <row r="193">
      <c r="A193" s="5"/>
      <c r="B193" s="5" t="s">
        <v>125</v>
      </c>
      <c r="C193" s="4">
        <v>4.506343966925836</v>
      </c>
      <c r="D193" s="5"/>
    </row>
    <row r="194">
      <c r="A194" s="5"/>
      <c r="B194" s="5" t="s">
        <v>127</v>
      </c>
      <c r="C194" s="4">
        <v>0.57859439595774</v>
      </c>
      <c r="D194" s="5"/>
    </row>
    <row r="195">
      <c r="A195" s="5"/>
      <c r="B195" s="5" t="s">
        <v>128</v>
      </c>
      <c r="C195" s="4">
        <v>1.9045772971502415</v>
      </c>
      <c r="D195" s="5"/>
    </row>
    <row r="196">
      <c r="A196" s="5"/>
      <c r="B196" s="5" t="s">
        <v>132</v>
      </c>
      <c r="C196" s="4">
        <v>1.5757878358607558</v>
      </c>
      <c r="D196" s="5"/>
    </row>
    <row r="197">
      <c r="A197" s="5"/>
      <c r="B197" s="5" t="s">
        <v>134</v>
      </c>
      <c r="C197" s="4">
        <v>0.7447725605282465</v>
      </c>
      <c r="D197" s="5"/>
    </row>
    <row r="198">
      <c r="A198" s="5"/>
      <c r="B198" s="5" t="s">
        <v>136</v>
      </c>
      <c r="C198" s="4">
        <v>0.3038230967229113</v>
      </c>
      <c r="D198" s="5"/>
    </row>
    <row r="199">
      <c r="A199" s="5"/>
      <c r="B199" s="5" t="s">
        <v>141</v>
      </c>
      <c r="C199" s="4">
        <v>1.5272411547644889</v>
      </c>
      <c r="D199" s="5"/>
    </row>
    <row r="200">
      <c r="A200" s="5"/>
      <c r="B200" s="5" t="s">
        <v>144</v>
      </c>
      <c r="C200" s="4">
        <v>2.560255077111966</v>
      </c>
      <c r="D200" s="5"/>
    </row>
    <row r="201">
      <c r="A201" s="5"/>
      <c r="B201" s="5" t="s">
        <v>150</v>
      </c>
      <c r="C201" s="4">
        <v>4.440476190476191</v>
      </c>
      <c r="D201" s="5"/>
    </row>
    <row r="202">
      <c r="A202" s="5"/>
      <c r="B202" s="5" t="s">
        <v>154</v>
      </c>
      <c r="C202" s="4">
        <v>0.9073756432246999</v>
      </c>
      <c r="D202" s="5"/>
    </row>
    <row r="203">
      <c r="A203" s="5"/>
      <c r="B203" s="5" t="s">
        <v>167</v>
      </c>
      <c r="C203" s="4">
        <v>0.8841141434794204</v>
      </c>
      <c r="D203" s="5"/>
    </row>
    <row r="204">
      <c r="A204" s="5"/>
      <c r="B204" s="5" t="s">
        <v>168</v>
      </c>
      <c r="C204" s="4">
        <v>1.2536945812807883</v>
      </c>
      <c r="D204" s="5"/>
    </row>
    <row r="205">
      <c r="A205" s="5"/>
      <c r="B205" s="5" t="s">
        <v>169</v>
      </c>
      <c r="C205" s="4">
        <v>2.1970093512909488</v>
      </c>
      <c r="D205" s="5"/>
    </row>
    <row r="206">
      <c r="A206" s="5"/>
      <c r="B206" s="5" t="s">
        <v>172</v>
      </c>
      <c r="C206" s="4">
        <v>1.3611990407673862</v>
      </c>
      <c r="D206" s="5"/>
    </row>
    <row r="207">
      <c r="A207" s="5"/>
      <c r="B207" s="5" t="s">
        <v>175</v>
      </c>
      <c r="C207" s="4">
        <v>14.104235727440148</v>
      </c>
      <c r="D207" s="5"/>
    </row>
    <row r="208">
      <c r="A208" s="5"/>
      <c r="B208" s="5" t="s">
        <v>178</v>
      </c>
      <c r="C208" s="4">
        <v>4.329720520016036</v>
      </c>
      <c r="D208" s="5"/>
    </row>
    <row r="209">
      <c r="A209" s="5"/>
      <c r="B209" s="5" t="s">
        <v>184</v>
      </c>
      <c r="C209" s="4">
        <v>-0.16018634653287941</v>
      </c>
      <c r="D209" s="5"/>
    </row>
    <row r="210">
      <c r="A210" s="5"/>
      <c r="B210" s="5" t="s">
        <v>185</v>
      </c>
      <c r="C210" s="4">
        <v>0.9252578711454339</v>
      </c>
      <c r="D210" s="5"/>
    </row>
    <row r="211">
      <c r="A211" s="5"/>
      <c r="B211" s="5" t="s">
        <v>186</v>
      </c>
      <c r="C211" s="4">
        <v>6.479058823529412</v>
      </c>
      <c r="D211" s="5"/>
    </row>
    <row r="212">
      <c r="A212" s="5"/>
      <c r="B212" s="5" t="s">
        <v>187</v>
      </c>
      <c r="C212" s="4">
        <v>0.22678579892875764</v>
      </c>
      <c r="D212" s="5"/>
    </row>
    <row r="213">
      <c r="A213" s="5"/>
      <c r="B213" s="5" t="s">
        <v>189</v>
      </c>
      <c r="C213" s="4">
        <v>1.3201032138770377</v>
      </c>
      <c r="D213" s="5"/>
    </row>
    <row r="214">
      <c r="A214" s="5"/>
      <c r="B214" s="5" t="s">
        <v>198</v>
      </c>
      <c r="C214" s="4">
        <v>0.5974610850838749</v>
      </c>
      <c r="D214" s="5"/>
    </row>
    <row r="215">
      <c r="A215" s="5"/>
      <c r="B215" s="5" t="s">
        <v>203</v>
      </c>
      <c r="C215" s="4">
        <v>6.9274870512591535</v>
      </c>
      <c r="D215" s="5"/>
    </row>
    <row r="216">
      <c r="A216" s="5"/>
      <c r="B216" s="5" t="s">
        <v>204</v>
      </c>
      <c r="C216" s="4">
        <v>0.8576277241872097</v>
      </c>
      <c r="D216" s="5"/>
    </row>
    <row r="217">
      <c r="A217" s="5"/>
      <c r="B217" s="5" t="s">
        <v>212</v>
      </c>
      <c r="C217" s="4">
        <v>3.638419394390899</v>
      </c>
      <c r="D217" s="5"/>
    </row>
    <row r="218">
      <c r="A218" s="5"/>
      <c r="B218" s="5" t="s">
        <v>215</v>
      </c>
      <c r="C218" s="4">
        <v>2.2704615384615385</v>
      </c>
      <c r="D218" s="5"/>
    </row>
  </sheetData>
  <drawing r:id="rId1"/>
</worksheet>
</file>