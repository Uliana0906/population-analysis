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AC6630-76F5-462B-AC6E-399D5503A7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чищенные данные" sheetId="2" r:id="rId1"/>
    <sheet name="анализ" sheetId="3" r:id="rId2"/>
    <sheet name="анализ(сводная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G3" i="4"/>
  <c r="G2" i="4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M20" i="3"/>
  <c r="J20" i="3"/>
  <c r="I20" i="3"/>
  <c r="M19" i="3"/>
  <c r="J19" i="3"/>
  <c r="I19" i="3"/>
  <c r="J18" i="3"/>
  <c r="I18" i="3"/>
  <c r="J17" i="3"/>
  <c r="I17" i="3"/>
  <c r="M16" i="3"/>
  <c r="J16" i="3"/>
  <c r="I16" i="3"/>
  <c r="M15" i="3"/>
  <c r="J15" i="3"/>
  <c r="I15" i="3"/>
  <c r="M14" i="3"/>
  <c r="J14" i="3"/>
  <c r="I14" i="3"/>
  <c r="M13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O16" i="3" s="1"/>
  <c r="J3" i="3"/>
  <c r="I3" i="3"/>
  <c r="O15" i="3" s="1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O14" i="3" l="1"/>
  <c r="O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tc={4d0d70d4-ae96-49c7-a5a5-0b46d152f3d4}</author>
  </authors>
  <commentList>
    <comment ref="B215" authorId="0" shapeId="0" xr:uid="{4D0D70D4-AE96-49C7-A5A5-0B46D152F3D4}">
      <text>
        <r>
          <rPr>
            <sz val="10"/>
            <color rgb="FF000000"/>
            <rFont val="Arial"/>
            <scheme val="minor"/>
          </rPr>
          <t xml:space="preserve">	Государство было провозглашено 15 ноября 1988 года
</t>
        </r>
      </text>
    </comment>
  </commentList>
</comments>
</file>

<file path=xl/sharedStrings.xml><?xml version="1.0" encoding="utf-8"?>
<sst xmlns="http://schemas.openxmlformats.org/spreadsheetml/2006/main" count="717" uniqueCount="275">
  <si>
    <t>Country 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</si>
  <si>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</si>
  <si>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</si>
  <si>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</si>
  <si>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</si>
  <si>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</si>
  <si>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</si>
  <si>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</si>
  <si>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</si>
  <si>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</si>
  <si>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</si>
  <si>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</si>
  <si>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</si>
  <si>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</si>
  <si>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</si>
  <si>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</si>
  <si>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</si>
  <si>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</si>
  <si>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</si>
  <si>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</si>
  <si>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</si>
  <si>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</si>
  <si>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</si>
  <si>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</si>
  <si>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</si>
  <si>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</si>
  <si>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</si>
  <si>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</si>
  <si>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</si>
  <si>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</si>
  <si>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</si>
  <si>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</si>
  <si>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</si>
  <si>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</si>
  <si>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</si>
  <si>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</si>
  <si>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</si>
  <si>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</si>
  <si>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</si>
  <si>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</si>
  <si>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</si>
  <si>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</si>
  <si>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</si>
  <si>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</si>
  <si>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</si>
  <si>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</si>
  <si>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</si>
  <si>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</si>
  <si>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</si>
  <si>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</si>
  <si>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</si>
  <si>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</si>
  <si>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</si>
  <si>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</si>
  <si>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</si>
  <si>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</si>
  <si>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</si>
  <si>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</si>
  <si>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</si>
  <si>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</si>
  <si>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</si>
  <si>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</si>
  <si>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</si>
  <si>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</si>
  <si>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</si>
  <si>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</si>
  <si>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</si>
  <si>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</si>
  <si>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</si>
  <si>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</si>
  <si>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</si>
  <si>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</si>
  <si>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</si>
  <si>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</si>
  <si>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</si>
  <si>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</si>
  <si>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</si>
  <si>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</si>
  <si>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</si>
  <si>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</si>
  <si>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</si>
  <si>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</si>
  <si>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</si>
  <si>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</si>
  <si>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</si>
  <si>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</si>
  <si>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</si>
  <si>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</si>
  <si>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</si>
  <si>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</si>
  <si>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</si>
  <si>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</si>
  <si>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</si>
  <si>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</si>
  <si>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</si>
  <si>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</si>
  <si>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</si>
  <si>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</si>
  <si>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</si>
  <si>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</si>
  <si>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</si>
  <si>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</si>
  <si>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</si>
  <si>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</si>
  <si>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</si>
  <si>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</si>
  <si>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</si>
  <si>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</si>
  <si>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</si>
  <si>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</si>
  <si>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</si>
  <si>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</si>
  <si>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</si>
  <si>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</si>
  <si>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</si>
  <si>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</si>
  <si>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</si>
  <si>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</si>
  <si>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</si>
  <si>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</si>
  <si>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</si>
  <si>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</si>
  <si>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</si>
  <si>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</si>
  <si>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</si>
  <si>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</si>
  <si>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</si>
  <si>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</si>
  <si>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</si>
  <si>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</si>
  <si>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</si>
  <si>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</si>
  <si>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</si>
  <si>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</si>
  <si>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</si>
  <si>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</si>
  <si>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</si>
  <si>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</si>
  <si>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</si>
  <si>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</si>
  <si>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</si>
  <si>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</si>
  <si>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</si>
  <si>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</si>
  <si>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</si>
  <si>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</si>
  <si>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</si>
  <si>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</si>
  <si>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</si>
  <si>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</si>
  <si>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</si>
  <si>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</si>
  <si>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</si>
  <si>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</si>
  <si>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</si>
  <si>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</si>
  <si>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</si>
  <si>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</si>
  <si>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(US)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</si>
  <si>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</si>
  <si>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</si>
  <si>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</si>
  <si>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</si>
  <si>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</si>
  <si>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</si>
  <si>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</si>
  <si>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</si>
  <si>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</si>
  <si>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</si>
  <si>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</si>
  <si>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</si>
  <si>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</si>
  <si>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</si>
  <si>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</si>
  <si>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</si>
  <si>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</si>
  <si>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</si>
  <si>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</si>
  <si>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</si>
  <si>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</si>
  <si>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</si>
  <si>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</si>
  <si>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</si>
  <si>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</si>
  <si>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</si>
  <si>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</si>
  <si>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</si>
  <si>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</si>
  <si>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</si>
  <si>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</si>
  <si>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</si>
  <si>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</si>
  <si>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</si>
  <si>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</si>
  <si>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</si>
  <si>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</si>
  <si>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</si>
  <si>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</si>
  <si>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</si>
  <si>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</si>
  <si>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</si>
  <si>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</si>
  <si>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</si>
  <si>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</si>
  <si>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</si>
  <si>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</si>
  <si>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</si>
  <si>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</si>
  <si>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</si>
  <si>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</si>
  <si>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</si>
  <si>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</si>
  <si>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</si>
  <si>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</si>
  <si>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</si>
  <si>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</si>
  <si>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</si>
  <si>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Population in</t>
  </si>
  <si>
    <t>Growth_%</t>
  </si>
  <si>
    <t>Group</t>
  </si>
  <si>
    <t>топ-10 стран с наибольшим населением на 2020 год</t>
  </si>
  <si>
    <t>топ-10 стран с наименьшим населением на 2020 год</t>
  </si>
  <si>
    <t>топ-10 стран с наибольшим приростом</t>
  </si>
  <si>
    <t>топ-10 стран с наименьшим приростом</t>
  </si>
  <si>
    <t>Индия</t>
  </si>
  <si>
    <t>Науру</t>
  </si>
  <si>
    <t>Катар</t>
  </si>
  <si>
    <t>Сент-Китс и Невис</t>
  </si>
  <si>
    <t>Соединенные Штаты Америки</t>
  </si>
  <si>
    <t>Палао</t>
  </si>
  <si>
    <t>Объединенные Арабские Эмираты</t>
  </si>
  <si>
    <t>Латвия</t>
  </si>
  <si>
    <t>Индонезия</t>
  </si>
  <si>
    <t>Сен-Мартен (франц.)</t>
  </si>
  <si>
    <t>Сен-Мартен (датч.)</t>
  </si>
  <si>
    <t>Хорватия</t>
  </si>
  <si>
    <t>Пакистан</t>
  </si>
  <si>
    <t>Сан Марино</t>
  </si>
  <si>
    <t>Кувейт</t>
  </si>
  <si>
    <t>Венгрия</t>
  </si>
  <si>
    <t>Нигерия</t>
  </si>
  <si>
    <t>Гибралтар</t>
  </si>
  <si>
    <t>Джибути</t>
  </si>
  <si>
    <t>Босния и Герцеговина</t>
  </si>
  <si>
    <t>Бразилия</t>
  </si>
  <si>
    <t>Британские Виргинские острова</t>
  </si>
  <si>
    <t>Иордан</t>
  </si>
  <si>
    <t>Литва</t>
  </si>
  <si>
    <t>Бангладеш</t>
  </si>
  <si>
    <t>Монако</t>
  </si>
  <si>
    <t>Бахрейн</t>
  </si>
  <si>
    <t>Грузия</t>
  </si>
  <si>
    <t>Российская Федерация</t>
  </si>
  <si>
    <t>Лихтенштейн</t>
  </si>
  <si>
    <t>Оман</t>
  </si>
  <si>
    <t>Сербия</t>
  </si>
  <si>
    <t>Мексика</t>
  </si>
  <si>
    <t>Сент-Мартен (датч.)</t>
  </si>
  <si>
    <t>Каймановы острова</t>
  </si>
  <si>
    <t>Украина</t>
  </si>
  <si>
    <t>макс. население в 2020 году</t>
  </si>
  <si>
    <t>макс. прирост</t>
  </si>
  <si>
    <t xml:space="preserve">мин. население в 2020 году </t>
  </si>
  <si>
    <t>мин. прирост</t>
  </si>
  <si>
    <t>среднее значение населения в 2020 году</t>
  </si>
  <si>
    <t>среднее значение прироста</t>
  </si>
  <si>
    <t>медиана населения в 2020 году</t>
  </si>
  <si>
    <t>медиана прироста</t>
  </si>
  <si>
    <t>доли стран из топов:</t>
  </si>
  <si>
    <t>страны топ-10 с наибольшим населением</t>
  </si>
  <si>
    <t xml:space="preserve">страны топ-10 с наименьшим населением </t>
  </si>
  <si>
    <t>Средние значения: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</si>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</sst>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1" fillId="2" borderId="3" xfId="0" applyFont="1" applyFill="1" applyBorder="1"/>
    <xf numFmtId="0" fontId="1" fillId="0" borderId="4" xfId="0" applyFont="1" applyBorder="1"/>
    <xf numFmtId="0" fontId="1" fillId="2" borderId="5" xfId="0" applyFont="1" applyFill="1" applyBorder="1"/>
    <xf numFmtId="10" fontId="1" fillId="0" borderId="6" xfId="0" applyNumberFormat="1" applyFont="1" applyBorder="1"/>
    <xf numFmtId="0" fontId="1" fillId="0" borderId="2" xfId="0" applyFont="1" applyBorder="1"/>
    <xf numFmtId="10" fontId="1" fillId="0" borderId="7" xfId="0" applyNumberFormat="1" applyFont="1" applyBorder="1"/>
    <xf numFmtId="0" fontId="1" fillId="0" borderId="8" xfId="0" applyFont="1" applyBorder="1"/>
    <xf numFmtId="10" fontId="1" fillId="0" borderId="9" xfId="0" applyNumberFormat="1" applyFont="1" applyBorder="1"/>
    <xf numFmtId="0" fontId="1" fillId="0" borderId="3" xfId="0" applyFont="1" applyBorder="1"/>
    <xf numFmtId="10" fontId="1" fillId="0" borderId="3" xfId="0" applyNumberFormat="1" applyFont="1" applyBorder="1"/>
    <xf numFmtId="0" fontId="1" fillId="0" borderId="1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5" xfId="0" applyFont="1" applyFill="1" applyBorder="1"/>
    <xf numFmtId="0" fontId="4" fillId="0" borderId="10" xfId="0" applyFont="1" applyBorder="1"/>
  </cellXfs>
  <cellStyles count="1">
    <cellStyle name="Обычный" xfId="0" builtinId="0"/>
  </cellStyles>
  <dxfs count="6">
    <dxf>
      <font>
        <b/>
      </font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анализ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Ульяна Арланова" id="{e92ed64f-7318-4a03-982a-1c0d689f707b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L2:O11">
  <tableColumns count="4">
    <tableColumn id="1" xr3:uid="{00000000-0010-0000-0000-000001000000}" name="топ-10 стран с наибольшим населением на 2020 год"/>
    <tableColumn id="2" xr3:uid="{00000000-0010-0000-0000-000002000000}" name="топ-10 стран с наименьшим населением на 2020 год"/>
    <tableColumn id="3" xr3:uid="{00000000-0010-0000-0000-000003000000}" name="топ-10 стран с наибольшим приростом"/>
    <tableColumn id="4" xr3:uid="{00000000-0010-0000-0000-000004000000}" name="топ-10 стран с наименьшим приростом"/>
  </tableColumns>
  <tableStyleInfo name="анализ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5" dT="2026-03-25T05:21:24.00" personId="{e92ed64f-7318-4a03-982a-1c0d689f707b}" id="{4d0d70d4-ae96-49c7-a5a5-0b46d152f3d4}" done="0">
    <x18tc:text xml:space="preserve">Государство было провозглашено 15 ноября 1988 года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218"/>
  <sheetViews>
    <sheetView tabSelected="1" workbookViewId="0">
      <selection activeCell="E229" sqref="E229"/>
    </sheetView>
  </sheetViews>
  <sheetFormatPr defaultColWidth="12.5703125" defaultRowHeight="15.75" customHeight="1" x14ac:dyDescent="0.2"/>
  <sheetData>
    <row r="1" spans="1:10" x14ac:dyDescent="0.2">
      <c r="A1" s="22" t="s">
        <v>0</v>
      </c>
      <c r="B1" s="20" t="s">
        <v>217</v>
      </c>
      <c r="C1" s="21"/>
      <c r="D1" s="21"/>
      <c r="E1" s="21"/>
      <c r="F1" s="21"/>
      <c r="G1" s="21"/>
      <c r="H1" s="21"/>
      <c r="I1" s="23" t="s">
        <v>218</v>
      </c>
      <c r="J1" s="23" t="s">
        <v>219</v>
      </c>
    </row>
    <row r="2" spans="1:10" x14ac:dyDescent="0.2">
      <c r="A2" s="21"/>
      <c r="B2" s="1">
        <v>1960</v>
      </c>
      <c r="C2" s="1">
        <v>1970</v>
      </c>
      <c r="D2" s="1">
        <v>1980</v>
      </c>
      <c r="E2" s="1">
        <v>1990</v>
      </c>
      <c r="F2" s="1">
        <v>2000</v>
      </c>
      <c r="G2" s="1">
        <v>2010</v>
      </c>
      <c r="H2" s="1">
        <v>2020</v>
      </c>
      <c r="I2" s="21"/>
      <c r="J2" s="21"/>
    </row>
    <row r="3" spans="1:10" x14ac:dyDescent="0.2">
      <c r="A3" s="1" t="s">
        <v>2</v>
      </c>
      <c r="B3" s="1">
        <v>9035043</v>
      </c>
      <c r="C3" s="1">
        <v>11290128</v>
      </c>
      <c r="D3" s="1">
        <v>13169311</v>
      </c>
      <c r="E3" s="1">
        <v>12045660</v>
      </c>
      <c r="F3" s="1">
        <v>20130327</v>
      </c>
      <c r="G3" s="1">
        <v>28284089</v>
      </c>
      <c r="H3" s="1">
        <v>39068979</v>
      </c>
      <c r="I3" s="2">
        <f t="shared" ref="I3:I214" si="0">(H3-B3)/B3*100</f>
        <v>332.41608257979516</v>
      </c>
      <c r="J3" s="1" t="str">
        <f t="shared" ref="J3:J218" si="1">IF(H3&lt;1000000, "Small", IF(H3&lt;=10000000, "Medium", "Large"))</f>
        <v>Large</v>
      </c>
    </row>
    <row r="4" spans="1:10" x14ac:dyDescent="0.2">
      <c r="A4" s="1" t="s">
        <v>4</v>
      </c>
      <c r="B4" s="1">
        <v>1608800</v>
      </c>
      <c r="C4" s="1">
        <v>2135479</v>
      </c>
      <c r="D4" s="1">
        <v>2671997</v>
      </c>
      <c r="E4" s="1">
        <v>3286542</v>
      </c>
      <c r="F4" s="1">
        <v>3089027</v>
      </c>
      <c r="G4" s="1">
        <v>2913021</v>
      </c>
      <c r="H4" s="1">
        <v>2528480</v>
      </c>
      <c r="I4" s="2">
        <f t="shared" si="0"/>
        <v>57.165589259075091</v>
      </c>
      <c r="J4" s="1" t="str">
        <f t="shared" si="1"/>
        <v>Medium</v>
      </c>
    </row>
    <row r="5" spans="1:10" x14ac:dyDescent="0.2">
      <c r="A5" s="1" t="s">
        <v>57</v>
      </c>
      <c r="B5" s="1">
        <v>11424922</v>
      </c>
      <c r="C5" s="1">
        <v>13783719</v>
      </c>
      <c r="D5" s="1">
        <v>18607174</v>
      </c>
      <c r="E5" s="1">
        <v>25375810</v>
      </c>
      <c r="F5" s="1">
        <v>30903893</v>
      </c>
      <c r="G5" s="1">
        <v>36188236</v>
      </c>
      <c r="H5" s="1">
        <v>44042091</v>
      </c>
      <c r="I5" s="2">
        <f t="shared" si="0"/>
        <v>285.49139328916209</v>
      </c>
      <c r="J5" s="1" t="str">
        <f t="shared" si="1"/>
        <v>Large</v>
      </c>
    </row>
    <row r="6" spans="1:10" x14ac:dyDescent="0.2">
      <c r="A6" s="1" t="s">
        <v>9</v>
      </c>
      <c r="B6" s="1">
        <v>20133</v>
      </c>
      <c r="C6" s="1">
        <v>27026</v>
      </c>
      <c r="D6" s="1">
        <v>32403</v>
      </c>
      <c r="E6" s="1">
        <v>46640</v>
      </c>
      <c r="F6" s="1">
        <v>56855</v>
      </c>
      <c r="G6" s="1">
        <v>55228</v>
      </c>
      <c r="H6" s="1">
        <v>49761</v>
      </c>
      <c r="I6" s="2">
        <f t="shared" si="0"/>
        <v>147.16137684398748</v>
      </c>
      <c r="J6" s="1" t="str">
        <f t="shared" si="1"/>
        <v>Small</v>
      </c>
    </row>
    <row r="7" spans="1:10" x14ac:dyDescent="0.2">
      <c r="A7" s="1" t="s">
        <v>5</v>
      </c>
      <c r="B7" s="1">
        <v>9510</v>
      </c>
      <c r="C7" s="1">
        <v>19977</v>
      </c>
      <c r="D7" s="1">
        <v>35782</v>
      </c>
      <c r="E7" s="1">
        <v>52597</v>
      </c>
      <c r="F7" s="1">
        <v>65685</v>
      </c>
      <c r="G7" s="1">
        <v>80706</v>
      </c>
      <c r="H7" s="1">
        <v>77380</v>
      </c>
      <c r="I7" s="2">
        <f t="shared" si="0"/>
        <v>713.66982124079914</v>
      </c>
      <c r="J7" s="1" t="str">
        <f t="shared" si="1"/>
        <v>Small</v>
      </c>
    </row>
    <row r="8" spans="1:10" x14ac:dyDescent="0.2">
      <c r="A8" s="1" t="s">
        <v>3</v>
      </c>
      <c r="B8" s="1">
        <v>5231654</v>
      </c>
      <c r="C8" s="1">
        <v>5852788</v>
      </c>
      <c r="D8" s="1">
        <v>8133872</v>
      </c>
      <c r="E8" s="1">
        <v>11626360</v>
      </c>
      <c r="F8" s="1">
        <v>16194869</v>
      </c>
      <c r="G8" s="1">
        <v>23294825</v>
      </c>
      <c r="H8" s="1">
        <v>33451132</v>
      </c>
      <c r="I8" s="2">
        <f t="shared" si="0"/>
        <v>539.39878287057979</v>
      </c>
      <c r="J8" s="1" t="str">
        <f t="shared" si="1"/>
        <v>Large</v>
      </c>
    </row>
    <row r="9" spans="1:10" x14ac:dyDescent="0.2">
      <c r="A9" s="1" t="s">
        <v>10</v>
      </c>
      <c r="B9" s="1">
        <v>55603</v>
      </c>
      <c r="C9" s="1">
        <v>64528</v>
      </c>
      <c r="D9" s="1">
        <v>64513</v>
      </c>
      <c r="E9" s="1">
        <v>63066</v>
      </c>
      <c r="F9" s="1">
        <v>74912</v>
      </c>
      <c r="G9" s="1">
        <v>85320</v>
      </c>
      <c r="H9" s="1">
        <v>91846</v>
      </c>
      <c r="I9" s="2">
        <f t="shared" si="0"/>
        <v>65.181734798482097</v>
      </c>
      <c r="J9" s="1" t="str">
        <f t="shared" si="1"/>
        <v>Small</v>
      </c>
    </row>
    <row r="10" spans="1:10" x14ac:dyDescent="0.2">
      <c r="A10" s="1" t="s">
        <v>7</v>
      </c>
      <c r="B10" s="1">
        <v>20386045</v>
      </c>
      <c r="C10" s="1">
        <v>23878327</v>
      </c>
      <c r="D10" s="1">
        <v>28011596</v>
      </c>
      <c r="E10" s="1">
        <v>32755901</v>
      </c>
      <c r="F10" s="1">
        <v>37213984</v>
      </c>
      <c r="G10" s="1">
        <v>41288694</v>
      </c>
      <c r="H10" s="1">
        <v>45191965</v>
      </c>
      <c r="I10" s="2">
        <f t="shared" si="0"/>
        <v>121.68088513490478</v>
      </c>
      <c r="J10" s="1" t="str">
        <f t="shared" si="1"/>
        <v>Large</v>
      </c>
    </row>
    <row r="11" spans="1:10" x14ac:dyDescent="0.2">
      <c r="A11" s="1" t="s">
        <v>8</v>
      </c>
      <c r="B11" s="1">
        <v>1863705</v>
      </c>
      <c r="C11" s="1">
        <v>2475633</v>
      </c>
      <c r="D11" s="1">
        <v>3107415</v>
      </c>
      <c r="E11" s="1">
        <v>3552128</v>
      </c>
      <c r="F11" s="1">
        <v>3221100</v>
      </c>
      <c r="G11" s="1">
        <v>3044800</v>
      </c>
      <c r="H11" s="1">
        <v>2961500</v>
      </c>
      <c r="I11" s="2">
        <f t="shared" si="0"/>
        <v>58.903903783055803</v>
      </c>
      <c r="J11" s="1" t="str">
        <f t="shared" si="1"/>
        <v>Medium</v>
      </c>
    </row>
    <row r="12" spans="1:10" x14ac:dyDescent="0.2">
      <c r="A12" s="1" t="s">
        <v>1</v>
      </c>
      <c r="B12" s="1">
        <v>54922</v>
      </c>
      <c r="C12" s="1">
        <v>58950</v>
      </c>
      <c r="D12" s="1">
        <v>59909</v>
      </c>
      <c r="E12" s="1">
        <v>62753</v>
      </c>
      <c r="F12" s="1">
        <v>90588</v>
      </c>
      <c r="G12" s="1">
        <v>101838</v>
      </c>
      <c r="H12" s="1">
        <v>108587</v>
      </c>
      <c r="I12" s="2">
        <f t="shared" si="0"/>
        <v>97.711299661337904</v>
      </c>
      <c r="J12" s="1" t="str">
        <f t="shared" si="1"/>
        <v>Small</v>
      </c>
    </row>
    <row r="13" spans="1:10" x14ac:dyDescent="0.2">
      <c r="A13" s="1" t="s">
        <v>11</v>
      </c>
      <c r="B13" s="1">
        <v>10276477</v>
      </c>
      <c r="C13" s="1">
        <v>12507000</v>
      </c>
      <c r="D13" s="1">
        <v>14692000</v>
      </c>
      <c r="E13" s="1">
        <v>17065128</v>
      </c>
      <c r="F13" s="1">
        <v>19028802</v>
      </c>
      <c r="G13" s="1">
        <v>22031750</v>
      </c>
      <c r="H13" s="1">
        <v>25649248</v>
      </c>
      <c r="I13" s="2">
        <f t="shared" si="0"/>
        <v>149.59183969370048</v>
      </c>
      <c r="J13" s="1" t="str">
        <f t="shared" si="1"/>
        <v>Large</v>
      </c>
    </row>
    <row r="14" spans="1:10" x14ac:dyDescent="0.2">
      <c r="A14" s="1" t="s">
        <v>12</v>
      </c>
      <c r="B14" s="1">
        <v>7047539</v>
      </c>
      <c r="C14" s="1">
        <v>7467086</v>
      </c>
      <c r="D14" s="1">
        <v>7549433</v>
      </c>
      <c r="E14" s="1">
        <v>7677850</v>
      </c>
      <c r="F14" s="1">
        <v>8011566</v>
      </c>
      <c r="G14" s="1">
        <v>8363404</v>
      </c>
      <c r="H14" s="1">
        <v>8916864</v>
      </c>
      <c r="I14" s="2">
        <f t="shared" si="0"/>
        <v>26.524507349303068</v>
      </c>
      <c r="J14" s="1" t="str">
        <f t="shared" si="1"/>
        <v>Medium</v>
      </c>
    </row>
    <row r="15" spans="1:10" x14ac:dyDescent="0.2">
      <c r="A15" s="1" t="s">
        <v>13</v>
      </c>
      <c r="B15" s="1">
        <v>3894500</v>
      </c>
      <c r="C15" s="1">
        <v>5172050</v>
      </c>
      <c r="D15" s="1">
        <v>6160500</v>
      </c>
      <c r="E15" s="1">
        <v>7175200</v>
      </c>
      <c r="F15" s="1">
        <v>8048600</v>
      </c>
      <c r="G15" s="1">
        <v>9054332</v>
      </c>
      <c r="H15" s="1">
        <v>10093121</v>
      </c>
      <c r="I15" s="2">
        <f t="shared" si="0"/>
        <v>159.16346129156503</v>
      </c>
      <c r="J15" s="1" t="str">
        <f t="shared" si="1"/>
        <v>Large</v>
      </c>
    </row>
    <row r="16" spans="1:10" x14ac:dyDescent="0.2">
      <c r="A16" s="1" t="s">
        <v>21</v>
      </c>
      <c r="B16" s="1">
        <v>116317</v>
      </c>
      <c r="C16" s="1">
        <v>184982</v>
      </c>
      <c r="D16" s="1">
        <v>232526</v>
      </c>
      <c r="E16" s="1">
        <v>275945</v>
      </c>
      <c r="F16" s="1">
        <v>323835</v>
      </c>
      <c r="G16" s="1">
        <v>367478</v>
      </c>
      <c r="H16" s="1">
        <v>395863</v>
      </c>
      <c r="I16" s="2">
        <f t="shared" si="0"/>
        <v>240.33116397431158</v>
      </c>
      <c r="J16" s="1" t="str">
        <f t="shared" si="1"/>
        <v>Small</v>
      </c>
    </row>
    <row r="17" spans="1:10" x14ac:dyDescent="0.2">
      <c r="A17" s="1" t="s">
        <v>20</v>
      </c>
      <c r="B17" s="1">
        <v>165477</v>
      </c>
      <c r="C17" s="1">
        <v>224809</v>
      </c>
      <c r="D17" s="1">
        <v>358978</v>
      </c>
      <c r="E17" s="1">
        <v>514797</v>
      </c>
      <c r="F17" s="1">
        <v>637582</v>
      </c>
      <c r="G17" s="1">
        <v>1228543</v>
      </c>
      <c r="H17" s="1">
        <v>1472204</v>
      </c>
      <c r="I17" s="2">
        <f t="shared" si="0"/>
        <v>789.672885053512</v>
      </c>
      <c r="J17" s="1" t="str">
        <f t="shared" si="1"/>
        <v>Medium</v>
      </c>
    </row>
    <row r="18" spans="1:10" x14ac:dyDescent="0.2">
      <c r="A18" s="1" t="s">
        <v>18</v>
      </c>
      <c r="B18" s="1">
        <v>51828660</v>
      </c>
      <c r="C18" s="1">
        <v>69058894</v>
      </c>
      <c r="D18" s="1">
        <v>88016432</v>
      </c>
      <c r="E18" s="1">
        <v>111633717</v>
      </c>
      <c r="F18" s="1">
        <v>134544304</v>
      </c>
      <c r="G18" s="1">
        <v>152201981</v>
      </c>
      <c r="H18" s="1">
        <v>166298024</v>
      </c>
      <c r="I18" s="2">
        <f t="shared" si="0"/>
        <v>220.86112973015318</v>
      </c>
      <c r="J18" s="1" t="str">
        <f t="shared" si="1"/>
        <v>Large</v>
      </c>
    </row>
    <row r="19" spans="1:10" x14ac:dyDescent="0.2">
      <c r="A19" s="1" t="s">
        <v>28</v>
      </c>
      <c r="B19" s="1">
        <v>230893</v>
      </c>
      <c r="C19" s="1">
        <v>249387</v>
      </c>
      <c r="D19" s="1">
        <v>251524</v>
      </c>
      <c r="E19" s="1">
        <v>258582</v>
      </c>
      <c r="F19" s="1">
        <v>262063</v>
      </c>
      <c r="G19" s="1">
        <v>275243</v>
      </c>
      <c r="H19" s="1">
        <v>281698</v>
      </c>
      <c r="I19" s="2">
        <f t="shared" si="0"/>
        <v>22.003698682939717</v>
      </c>
      <c r="J19" s="1" t="str">
        <f t="shared" si="1"/>
        <v>Small</v>
      </c>
    </row>
    <row r="20" spans="1:10" x14ac:dyDescent="0.2">
      <c r="A20" s="1" t="s">
        <v>23</v>
      </c>
      <c r="B20" s="1">
        <v>8198000</v>
      </c>
      <c r="C20" s="1">
        <v>9040000</v>
      </c>
      <c r="D20" s="1">
        <v>9643000</v>
      </c>
      <c r="E20" s="1">
        <v>10189348</v>
      </c>
      <c r="F20" s="1">
        <v>9979610</v>
      </c>
      <c r="G20" s="1">
        <v>9483836</v>
      </c>
      <c r="H20" s="1">
        <v>9379952</v>
      </c>
      <c r="I20" s="2">
        <f t="shared" si="0"/>
        <v>14.417565259819467</v>
      </c>
      <c r="J20" s="1" t="str">
        <f t="shared" si="1"/>
        <v>Medium</v>
      </c>
    </row>
    <row r="21" spans="1:10" x14ac:dyDescent="0.2">
      <c r="A21" s="1" t="s">
        <v>15</v>
      </c>
      <c r="B21" s="1">
        <v>9153489</v>
      </c>
      <c r="C21" s="1">
        <v>9655549</v>
      </c>
      <c r="D21" s="1">
        <v>9859242</v>
      </c>
      <c r="E21" s="1">
        <v>9967379</v>
      </c>
      <c r="F21" s="1">
        <v>10251250</v>
      </c>
      <c r="G21" s="1">
        <v>10895586</v>
      </c>
      <c r="H21" s="1">
        <v>11538604</v>
      </c>
      <c r="I21" s="2">
        <f t="shared" si="0"/>
        <v>26.056894808089027</v>
      </c>
      <c r="J21" s="1" t="str">
        <f t="shared" si="1"/>
        <v>Large</v>
      </c>
    </row>
    <row r="22" spans="1:10" x14ac:dyDescent="0.2">
      <c r="A22" s="1" t="s">
        <v>24</v>
      </c>
      <c r="B22" s="1">
        <v>91318</v>
      </c>
      <c r="C22" s="1">
        <v>120736</v>
      </c>
      <c r="D22" s="1">
        <v>145062</v>
      </c>
      <c r="E22" s="1">
        <v>183076</v>
      </c>
      <c r="F22" s="1">
        <v>240799</v>
      </c>
      <c r="G22" s="1">
        <v>320245</v>
      </c>
      <c r="H22" s="1">
        <v>390812</v>
      </c>
      <c r="I22" s="2">
        <f t="shared" si="0"/>
        <v>327.96819904071486</v>
      </c>
      <c r="J22" s="1" t="str">
        <f t="shared" si="1"/>
        <v>Small</v>
      </c>
    </row>
    <row r="23" spans="1:10" x14ac:dyDescent="0.2">
      <c r="A23" s="1" t="s">
        <v>16</v>
      </c>
      <c r="B23" s="1">
        <v>2517286</v>
      </c>
      <c r="C23" s="1">
        <v>3065057</v>
      </c>
      <c r="D23" s="1">
        <v>3925251</v>
      </c>
      <c r="E23" s="1">
        <v>5281479</v>
      </c>
      <c r="F23" s="1">
        <v>7221619</v>
      </c>
      <c r="G23" s="1">
        <v>9797484</v>
      </c>
      <c r="H23" s="1">
        <v>13070169</v>
      </c>
      <c r="I23" s="2">
        <f t="shared" si="0"/>
        <v>419.21668813158294</v>
      </c>
      <c r="J23" s="1" t="str">
        <f t="shared" si="1"/>
        <v>Large</v>
      </c>
    </row>
    <row r="24" spans="1:10" x14ac:dyDescent="0.2">
      <c r="A24" s="1" t="s">
        <v>25</v>
      </c>
      <c r="B24" s="1">
        <v>42208</v>
      </c>
      <c r="C24" s="1">
        <v>52124</v>
      </c>
      <c r="D24" s="1">
        <v>53673</v>
      </c>
      <c r="E24" s="1">
        <v>57559</v>
      </c>
      <c r="F24" s="1">
        <v>61550</v>
      </c>
      <c r="G24" s="1">
        <v>63725</v>
      </c>
      <c r="H24" s="1">
        <v>64382</v>
      </c>
      <c r="I24" s="2">
        <f t="shared" si="0"/>
        <v>52.535064442759669</v>
      </c>
      <c r="J24" s="1" t="str">
        <f t="shared" si="1"/>
        <v>Small</v>
      </c>
    </row>
    <row r="25" spans="1:10" x14ac:dyDescent="0.2">
      <c r="A25" s="1" t="s">
        <v>30</v>
      </c>
      <c r="B25" s="1">
        <v>224084</v>
      </c>
      <c r="C25" s="1">
        <v>308528</v>
      </c>
      <c r="D25" s="1">
        <v>433404</v>
      </c>
      <c r="E25" s="1">
        <v>589287</v>
      </c>
      <c r="F25" s="1">
        <v>596863</v>
      </c>
      <c r="G25" s="1">
        <v>701632</v>
      </c>
      <c r="H25" s="1">
        <v>770006</v>
      </c>
      <c r="I25" s="2">
        <f t="shared" si="0"/>
        <v>243.62381963906392</v>
      </c>
      <c r="J25" s="1" t="str">
        <f t="shared" si="1"/>
        <v>Small</v>
      </c>
    </row>
    <row r="26" spans="1:10" x14ac:dyDescent="0.2">
      <c r="A26" s="1" t="s">
        <v>26</v>
      </c>
      <c r="B26" s="1">
        <v>3702323</v>
      </c>
      <c r="C26" s="1">
        <v>4590010</v>
      </c>
      <c r="D26" s="1">
        <v>5758900</v>
      </c>
      <c r="E26" s="1">
        <v>7130142</v>
      </c>
      <c r="F26" s="1">
        <v>8606326</v>
      </c>
      <c r="G26" s="1">
        <v>10182345</v>
      </c>
      <c r="H26" s="1">
        <v>11816299</v>
      </c>
      <c r="I26" s="2">
        <f t="shared" si="0"/>
        <v>219.15905230310807</v>
      </c>
      <c r="J26" s="1" t="str">
        <f t="shared" si="1"/>
        <v>Large</v>
      </c>
    </row>
    <row r="27" spans="1:10" x14ac:dyDescent="0.2">
      <c r="A27" s="1" t="s">
        <v>22</v>
      </c>
      <c r="B27" s="1">
        <v>3281381</v>
      </c>
      <c r="C27" s="1">
        <v>3773247</v>
      </c>
      <c r="D27" s="1">
        <v>4148426</v>
      </c>
      <c r="E27" s="1">
        <v>4448652</v>
      </c>
      <c r="F27" s="1">
        <v>4159771</v>
      </c>
      <c r="G27" s="1">
        <v>3811472</v>
      </c>
      <c r="H27" s="1">
        <v>3299349</v>
      </c>
      <c r="I27" s="2">
        <f t="shared" si="0"/>
        <v>0.54757432922297045</v>
      </c>
      <c r="J27" s="1" t="str">
        <f t="shared" si="1"/>
        <v>Medium</v>
      </c>
    </row>
    <row r="28" spans="1:10" x14ac:dyDescent="0.2">
      <c r="A28" s="1" t="s">
        <v>31</v>
      </c>
      <c r="B28" s="1">
        <v>516165</v>
      </c>
      <c r="C28" s="1">
        <v>590334</v>
      </c>
      <c r="D28" s="1">
        <v>937485</v>
      </c>
      <c r="E28" s="1">
        <v>1305696</v>
      </c>
      <c r="F28" s="1">
        <v>1677382</v>
      </c>
      <c r="G28" s="1">
        <v>2033111</v>
      </c>
      <c r="H28" s="1">
        <v>2365894</v>
      </c>
      <c r="I28" s="2">
        <f t="shared" si="0"/>
        <v>358.36002053606887</v>
      </c>
      <c r="J28" s="1" t="str">
        <f t="shared" si="1"/>
        <v>Medium</v>
      </c>
    </row>
    <row r="29" spans="1:10" x14ac:dyDescent="0.2">
      <c r="A29" s="1" t="s">
        <v>27</v>
      </c>
      <c r="B29" s="1">
        <v>72388126</v>
      </c>
      <c r="C29" s="1">
        <v>95375651</v>
      </c>
      <c r="D29" s="1">
        <v>121207461</v>
      </c>
      <c r="E29" s="1">
        <v>149143223</v>
      </c>
      <c r="F29" s="1">
        <v>174018282</v>
      </c>
      <c r="G29" s="1">
        <v>193701929</v>
      </c>
      <c r="H29" s="1">
        <v>208660842</v>
      </c>
      <c r="I29" s="2">
        <f t="shared" si="0"/>
        <v>188.25285793418661</v>
      </c>
      <c r="J29" s="1" t="str">
        <f t="shared" si="1"/>
        <v>Large</v>
      </c>
    </row>
    <row r="30" spans="1:10" x14ac:dyDescent="0.2">
      <c r="A30" s="1" t="s">
        <v>207</v>
      </c>
      <c r="B30" s="1">
        <v>7950</v>
      </c>
      <c r="C30" s="1">
        <v>9933</v>
      </c>
      <c r="D30" s="1">
        <v>11130</v>
      </c>
      <c r="E30" s="1">
        <v>15704</v>
      </c>
      <c r="F30" s="1">
        <v>20241</v>
      </c>
      <c r="G30" s="1">
        <v>27675</v>
      </c>
      <c r="H30" s="1">
        <v>37135</v>
      </c>
      <c r="I30" s="2">
        <f t="shared" si="0"/>
        <v>367.10691823899373</v>
      </c>
      <c r="J30" s="1" t="str">
        <f t="shared" si="1"/>
        <v>Small</v>
      </c>
    </row>
    <row r="31" spans="1:10" x14ac:dyDescent="0.2">
      <c r="A31" s="1" t="s">
        <v>29</v>
      </c>
      <c r="B31" s="1">
        <v>88347</v>
      </c>
      <c r="C31" s="1">
        <v>135138</v>
      </c>
      <c r="D31" s="1">
        <v>186111</v>
      </c>
      <c r="E31" s="1">
        <v>255292</v>
      </c>
      <c r="F31" s="1">
        <v>326424</v>
      </c>
      <c r="G31" s="1">
        <v>392332</v>
      </c>
      <c r="H31" s="1">
        <v>447404</v>
      </c>
      <c r="I31" s="2">
        <f t="shared" si="0"/>
        <v>406.41674306994008</v>
      </c>
      <c r="J31" s="1" t="str">
        <f t="shared" si="1"/>
        <v>Small</v>
      </c>
    </row>
    <row r="32" spans="1:10" x14ac:dyDescent="0.2">
      <c r="A32" s="1" t="s">
        <v>19</v>
      </c>
      <c r="B32" s="1">
        <v>7867374</v>
      </c>
      <c r="C32" s="1">
        <v>8489574</v>
      </c>
      <c r="D32" s="1">
        <v>8861535</v>
      </c>
      <c r="E32" s="1">
        <v>8718289</v>
      </c>
      <c r="F32" s="1">
        <v>8170172</v>
      </c>
      <c r="G32" s="1">
        <v>7395599</v>
      </c>
      <c r="H32" s="1">
        <v>6550696</v>
      </c>
      <c r="I32" s="2">
        <f t="shared" si="0"/>
        <v>-16.735927388223821</v>
      </c>
      <c r="J32" s="1" t="str">
        <f t="shared" si="1"/>
        <v>Medium</v>
      </c>
    </row>
    <row r="33" spans="1:10" x14ac:dyDescent="0.2">
      <c r="A33" s="1" t="s">
        <v>17</v>
      </c>
      <c r="B33" s="1">
        <v>4778621</v>
      </c>
      <c r="C33" s="1">
        <v>5610304</v>
      </c>
      <c r="D33" s="1">
        <v>6947900</v>
      </c>
      <c r="E33" s="1">
        <v>9159356</v>
      </c>
      <c r="F33" s="1">
        <v>11925546</v>
      </c>
      <c r="G33" s="1">
        <v>16176498</v>
      </c>
      <c r="H33" s="1">
        <v>21478690</v>
      </c>
      <c r="I33" s="2">
        <f t="shared" si="0"/>
        <v>349.47464969496428</v>
      </c>
      <c r="J33" s="1" t="str">
        <f t="shared" si="1"/>
        <v>Large</v>
      </c>
    </row>
    <row r="34" spans="1:10" x14ac:dyDescent="0.2">
      <c r="A34" s="1" t="s">
        <v>14</v>
      </c>
      <c r="B34" s="1">
        <v>2764258</v>
      </c>
      <c r="C34" s="1">
        <v>3530432</v>
      </c>
      <c r="D34" s="1">
        <v>4383706</v>
      </c>
      <c r="E34" s="1">
        <v>5587052</v>
      </c>
      <c r="F34" s="1">
        <v>6470194</v>
      </c>
      <c r="G34" s="1">
        <v>9376444</v>
      </c>
      <c r="H34" s="1">
        <v>12617036</v>
      </c>
      <c r="I34" s="2">
        <f t="shared" si="0"/>
        <v>356.43481903642862</v>
      </c>
      <c r="J34" s="1" t="str">
        <f t="shared" si="1"/>
        <v>Large</v>
      </c>
    </row>
    <row r="35" spans="1:10" x14ac:dyDescent="0.2">
      <c r="A35" s="1" t="s">
        <v>45</v>
      </c>
      <c r="B35" s="1">
        <v>210024</v>
      </c>
      <c r="C35" s="1">
        <v>287885</v>
      </c>
      <c r="D35" s="1">
        <v>323301</v>
      </c>
      <c r="E35" s="1">
        <v>375428</v>
      </c>
      <c r="F35" s="1">
        <v>453317</v>
      </c>
      <c r="G35" s="1">
        <v>509784</v>
      </c>
      <c r="H35" s="1">
        <v>514679</v>
      </c>
      <c r="I35" s="2">
        <f t="shared" si="0"/>
        <v>145.05723155448902</v>
      </c>
      <c r="J35" s="1" t="str">
        <f t="shared" si="1"/>
        <v>Small</v>
      </c>
    </row>
    <row r="36" spans="1:10" x14ac:dyDescent="0.2">
      <c r="A36" s="1" t="s">
        <v>104</v>
      </c>
      <c r="B36" s="1">
        <v>5449966</v>
      </c>
      <c r="C36" s="1">
        <v>6639182</v>
      </c>
      <c r="D36" s="1">
        <v>5199872</v>
      </c>
      <c r="E36" s="1">
        <v>7374752</v>
      </c>
      <c r="F36" s="1">
        <v>12462336</v>
      </c>
      <c r="G36" s="1">
        <v>14500726</v>
      </c>
      <c r="H36" s="1">
        <v>16725474</v>
      </c>
      <c r="I36" s="2">
        <f t="shared" si="0"/>
        <v>206.89134574417528</v>
      </c>
      <c r="J36" s="1" t="str">
        <f t="shared" si="1"/>
        <v>Large</v>
      </c>
    </row>
    <row r="37" spans="1:10" x14ac:dyDescent="0.2">
      <c r="A37" s="1" t="s">
        <v>40</v>
      </c>
      <c r="B37" s="1">
        <v>5159057</v>
      </c>
      <c r="C37" s="1">
        <v>6449793</v>
      </c>
      <c r="D37" s="1">
        <v>8512219</v>
      </c>
      <c r="E37" s="1">
        <v>11331821</v>
      </c>
      <c r="F37" s="1">
        <v>14912631</v>
      </c>
      <c r="G37" s="1">
        <v>19668066</v>
      </c>
      <c r="H37" s="1">
        <v>26210558</v>
      </c>
      <c r="I37" s="2">
        <f t="shared" si="0"/>
        <v>408.04939739956347</v>
      </c>
      <c r="J37" s="1" t="str">
        <f t="shared" si="1"/>
        <v>Large</v>
      </c>
    </row>
    <row r="38" spans="1:10" x14ac:dyDescent="0.2">
      <c r="A38" s="1" t="s">
        <v>33</v>
      </c>
      <c r="B38" s="1">
        <v>17909356</v>
      </c>
      <c r="C38" s="1">
        <v>21324000</v>
      </c>
      <c r="D38" s="1">
        <v>24515667</v>
      </c>
      <c r="E38" s="1">
        <v>27691138</v>
      </c>
      <c r="F38" s="1">
        <v>30685730</v>
      </c>
      <c r="G38" s="1">
        <v>34005902</v>
      </c>
      <c r="H38" s="1">
        <v>38028638</v>
      </c>
      <c r="I38" s="2">
        <f t="shared" si="0"/>
        <v>112.33950567513426</v>
      </c>
      <c r="J38" s="1" t="str">
        <f t="shared" si="1"/>
        <v>Large</v>
      </c>
    </row>
    <row r="39" spans="1:10" x14ac:dyDescent="0.2">
      <c r="A39" s="1" t="s">
        <v>49</v>
      </c>
      <c r="B39" s="1">
        <v>8428</v>
      </c>
      <c r="C39" s="1">
        <v>10517</v>
      </c>
      <c r="D39" s="1">
        <v>17079</v>
      </c>
      <c r="E39" s="1">
        <v>25999</v>
      </c>
      <c r="F39" s="1">
        <v>39674</v>
      </c>
      <c r="G39" s="1">
        <v>54099</v>
      </c>
      <c r="H39" s="1">
        <v>68684</v>
      </c>
      <c r="I39" s="2">
        <f t="shared" si="0"/>
        <v>714.95016611295682</v>
      </c>
      <c r="J39" s="1" t="str">
        <f t="shared" si="1"/>
        <v>Small</v>
      </c>
    </row>
    <row r="40" spans="1:10" x14ac:dyDescent="0.2">
      <c r="A40" s="1" t="s">
        <v>32</v>
      </c>
      <c r="B40" s="1">
        <v>1702346</v>
      </c>
      <c r="C40" s="1">
        <v>2097505</v>
      </c>
      <c r="D40" s="1">
        <v>2450535</v>
      </c>
      <c r="E40" s="1">
        <v>2871910</v>
      </c>
      <c r="F40" s="1">
        <v>3833416</v>
      </c>
      <c r="G40" s="1">
        <v>4492995</v>
      </c>
      <c r="H40" s="1">
        <v>5026628</v>
      </c>
      <c r="I40" s="2">
        <f t="shared" si="0"/>
        <v>195.27651840460166</v>
      </c>
      <c r="J40" s="1" t="str">
        <f t="shared" si="1"/>
        <v>Medium</v>
      </c>
    </row>
    <row r="41" spans="1:10" x14ac:dyDescent="0.2">
      <c r="A41" s="1" t="s">
        <v>34</v>
      </c>
      <c r="B41" s="1">
        <v>91401309</v>
      </c>
      <c r="C41" s="1">
        <v>99134548</v>
      </c>
      <c r="D41" s="1">
        <v>106541316</v>
      </c>
      <c r="E41" s="1">
        <v>110743128</v>
      </c>
      <c r="F41" s="1">
        <v>108447824</v>
      </c>
      <c r="G41" s="1">
        <v>104421447</v>
      </c>
      <c r="H41" s="1">
        <v>101215763</v>
      </c>
      <c r="I41" s="2">
        <f t="shared" si="0"/>
        <v>10.737760878238625</v>
      </c>
      <c r="J41" s="1" t="str">
        <f t="shared" si="1"/>
        <v>Large</v>
      </c>
    </row>
    <row r="42" spans="1:10" x14ac:dyDescent="0.2">
      <c r="A42" s="1" t="s">
        <v>188</v>
      </c>
      <c r="B42" s="1">
        <v>3049838</v>
      </c>
      <c r="C42" s="1">
        <v>3727828</v>
      </c>
      <c r="D42" s="1">
        <v>4515453</v>
      </c>
      <c r="E42" s="1">
        <v>5982833</v>
      </c>
      <c r="F42" s="1">
        <v>8512093</v>
      </c>
      <c r="G42" s="1">
        <v>12312575</v>
      </c>
      <c r="H42" s="1">
        <v>17224679</v>
      </c>
      <c r="I42" s="2">
        <f t="shared" si="0"/>
        <v>464.77357157986756</v>
      </c>
      <c r="J42" s="1" t="str">
        <f t="shared" si="1"/>
        <v>Large</v>
      </c>
    </row>
    <row r="43" spans="1:10" x14ac:dyDescent="0.2">
      <c r="A43" s="1" t="s">
        <v>36</v>
      </c>
      <c r="B43" s="1">
        <v>110808</v>
      </c>
      <c r="C43" s="1">
        <v>123288</v>
      </c>
      <c r="D43" s="1">
        <v>130462</v>
      </c>
      <c r="E43" s="1">
        <v>143087</v>
      </c>
      <c r="F43" s="1">
        <v>148110</v>
      </c>
      <c r="G43" s="1">
        <v>158621</v>
      </c>
      <c r="H43" s="1">
        <v>166235</v>
      </c>
      <c r="I43" s="2">
        <f t="shared" si="0"/>
        <v>50.020756624070458</v>
      </c>
      <c r="J43" s="1" t="str">
        <f t="shared" si="1"/>
        <v>Small</v>
      </c>
    </row>
    <row r="44" spans="1:10" x14ac:dyDescent="0.2">
      <c r="A44" s="1" t="s">
        <v>37</v>
      </c>
      <c r="B44" s="1">
        <v>8153350</v>
      </c>
      <c r="C44" s="1">
        <v>9845344</v>
      </c>
      <c r="D44" s="1">
        <v>11508550</v>
      </c>
      <c r="E44" s="1">
        <v>13437176</v>
      </c>
      <c r="F44" s="1">
        <v>15503635</v>
      </c>
      <c r="G44" s="1">
        <v>17181464</v>
      </c>
      <c r="H44" s="1">
        <v>19370624</v>
      </c>
      <c r="I44" s="2">
        <f t="shared" si="0"/>
        <v>137.57871304433147</v>
      </c>
      <c r="J44" s="1" t="str">
        <f t="shared" si="1"/>
        <v>Large</v>
      </c>
    </row>
    <row r="45" spans="1:10" x14ac:dyDescent="0.2">
      <c r="A45" s="1" t="s">
        <v>38</v>
      </c>
      <c r="B45" s="1">
        <v>667070000</v>
      </c>
      <c r="C45" s="1">
        <v>818315000</v>
      </c>
      <c r="D45" s="1">
        <v>981235000</v>
      </c>
      <c r="E45" s="1">
        <v>1135185000</v>
      </c>
      <c r="F45" s="1">
        <v>1262645000</v>
      </c>
      <c r="G45" s="1">
        <v>1337705000</v>
      </c>
      <c r="H45" s="1">
        <v>1411100000</v>
      </c>
      <c r="I45" s="2">
        <f t="shared" si="0"/>
        <v>111.53702010283779</v>
      </c>
      <c r="J45" s="1" t="str">
        <f t="shared" si="1"/>
        <v>Large</v>
      </c>
    </row>
    <row r="46" spans="1:10" x14ac:dyDescent="0.2">
      <c r="A46" s="1" t="s">
        <v>43</v>
      </c>
      <c r="B46" s="1">
        <v>15606209</v>
      </c>
      <c r="C46" s="1">
        <v>20811782</v>
      </c>
      <c r="D46" s="1">
        <v>26104498</v>
      </c>
      <c r="E46" s="1">
        <v>32440069</v>
      </c>
      <c r="F46" s="1">
        <v>39089934</v>
      </c>
      <c r="G46" s="1">
        <v>44777319</v>
      </c>
      <c r="H46" s="1">
        <v>50629997</v>
      </c>
      <c r="I46" s="2">
        <f t="shared" si="0"/>
        <v>224.4221386500719</v>
      </c>
      <c r="J46" s="1" t="str">
        <f t="shared" si="1"/>
        <v>Large</v>
      </c>
    </row>
    <row r="47" spans="1:10" x14ac:dyDescent="0.2">
      <c r="A47" s="1" t="s">
        <v>44</v>
      </c>
      <c r="B47" s="1">
        <v>197700</v>
      </c>
      <c r="C47" s="1">
        <v>244185</v>
      </c>
      <c r="D47" s="1">
        <v>337721</v>
      </c>
      <c r="E47" s="1">
        <v>444596</v>
      </c>
      <c r="F47" s="1">
        <v>536080</v>
      </c>
      <c r="G47" s="1">
        <v>654836</v>
      </c>
      <c r="H47" s="1">
        <v>802163</v>
      </c>
      <c r="I47" s="2">
        <f t="shared" si="0"/>
        <v>305.74759736975216</v>
      </c>
      <c r="J47" s="1" t="str">
        <f t="shared" si="1"/>
        <v>Small</v>
      </c>
    </row>
    <row r="48" spans="1:10" x14ac:dyDescent="0.2">
      <c r="A48" s="1" t="s">
        <v>41</v>
      </c>
      <c r="B48" s="1">
        <v>15264846</v>
      </c>
      <c r="C48" s="1">
        <v>20137436</v>
      </c>
      <c r="D48" s="1">
        <v>26711099</v>
      </c>
      <c r="E48" s="1">
        <v>36684063</v>
      </c>
      <c r="F48" s="1">
        <v>50507442</v>
      </c>
      <c r="G48" s="1">
        <v>68563038</v>
      </c>
      <c r="H48" s="1">
        <v>95989998</v>
      </c>
      <c r="I48" s="2">
        <f t="shared" si="0"/>
        <v>528.83043825008122</v>
      </c>
      <c r="J48" s="1" t="str">
        <f t="shared" si="1"/>
        <v>Large</v>
      </c>
    </row>
    <row r="49" spans="1:10" x14ac:dyDescent="0.2">
      <c r="A49" s="1" t="s">
        <v>42</v>
      </c>
      <c r="B49" s="1">
        <v>1056732</v>
      </c>
      <c r="C49" s="1">
        <v>1397638</v>
      </c>
      <c r="D49" s="1">
        <v>1828985</v>
      </c>
      <c r="E49" s="1">
        <v>2380560</v>
      </c>
      <c r="F49" s="1">
        <v>3151345</v>
      </c>
      <c r="G49" s="1">
        <v>4462290</v>
      </c>
      <c r="H49" s="1">
        <v>5752791</v>
      </c>
      <c r="I49" s="2">
        <f t="shared" si="0"/>
        <v>444.3945106233179</v>
      </c>
      <c r="J49" s="1" t="str">
        <f t="shared" si="1"/>
        <v>Medium</v>
      </c>
    </row>
    <row r="50" spans="1:10" x14ac:dyDescent="0.2">
      <c r="A50" s="1" t="s">
        <v>46</v>
      </c>
      <c r="B50" s="1">
        <v>1327496</v>
      </c>
      <c r="C50" s="1">
        <v>1838949</v>
      </c>
      <c r="D50" s="1">
        <v>2390633</v>
      </c>
      <c r="E50" s="1">
        <v>3121706</v>
      </c>
      <c r="F50" s="1">
        <v>3937739</v>
      </c>
      <c r="G50" s="1">
        <v>4555962</v>
      </c>
      <c r="H50" s="1">
        <v>5034320</v>
      </c>
      <c r="I50" s="2">
        <f t="shared" si="0"/>
        <v>279.23428771160138</v>
      </c>
      <c r="J50" s="1" t="str">
        <f t="shared" si="1"/>
        <v>Medium</v>
      </c>
    </row>
    <row r="51" spans="1:10" x14ac:dyDescent="0.2">
      <c r="A51" s="1" t="s">
        <v>39</v>
      </c>
      <c r="B51" s="1">
        <v>3673666</v>
      </c>
      <c r="C51" s="1">
        <v>5411567</v>
      </c>
      <c r="D51" s="1">
        <v>8220714</v>
      </c>
      <c r="E51" s="1">
        <v>12189778</v>
      </c>
      <c r="F51" s="1">
        <v>17699004</v>
      </c>
      <c r="G51" s="1">
        <v>22488065</v>
      </c>
      <c r="H51" s="1">
        <v>28915449</v>
      </c>
      <c r="I51" s="2">
        <f t="shared" si="0"/>
        <v>687.1006509573815</v>
      </c>
      <c r="J51" s="1" t="str">
        <f t="shared" si="1"/>
        <v>Large</v>
      </c>
    </row>
    <row r="52" spans="1:10" x14ac:dyDescent="0.2">
      <c r="A52" s="1" t="s">
        <v>86</v>
      </c>
      <c r="B52" s="1">
        <v>4140181</v>
      </c>
      <c r="C52" s="1">
        <v>4412252</v>
      </c>
      <c r="D52" s="1">
        <v>4599782</v>
      </c>
      <c r="E52" s="1">
        <v>4777368</v>
      </c>
      <c r="F52" s="1">
        <v>4468302</v>
      </c>
      <c r="G52" s="1">
        <v>4295427</v>
      </c>
      <c r="H52" s="1">
        <v>3914206</v>
      </c>
      <c r="I52" s="2">
        <f t="shared" si="0"/>
        <v>-5.4580947064874703</v>
      </c>
      <c r="J52" s="1" t="str">
        <f t="shared" si="1"/>
        <v>Medium</v>
      </c>
    </row>
    <row r="53" spans="1:10" x14ac:dyDescent="0.2">
      <c r="A53" s="1" t="s">
        <v>47</v>
      </c>
      <c r="B53" s="1">
        <v>7238081</v>
      </c>
      <c r="C53" s="1">
        <v>8824382</v>
      </c>
      <c r="D53" s="1">
        <v>9804796</v>
      </c>
      <c r="E53" s="1">
        <v>10631799</v>
      </c>
      <c r="F53" s="1">
        <v>11109109</v>
      </c>
      <c r="G53" s="1">
        <v>11297409</v>
      </c>
      <c r="H53" s="1">
        <v>11176354</v>
      </c>
      <c r="I53" s="2">
        <f t="shared" si="0"/>
        <v>54.41045768899243</v>
      </c>
      <c r="J53" s="1" t="str">
        <f t="shared" si="1"/>
        <v>Large</v>
      </c>
    </row>
    <row r="54" spans="1:10" x14ac:dyDescent="0.2">
      <c r="A54" s="1" t="s">
        <v>48</v>
      </c>
      <c r="B54" s="1">
        <v>124826</v>
      </c>
      <c r="C54" s="1">
        <v>144739</v>
      </c>
      <c r="D54" s="1">
        <v>148041</v>
      </c>
      <c r="E54" s="1">
        <v>145400</v>
      </c>
      <c r="F54" s="1">
        <v>133860</v>
      </c>
      <c r="G54" s="1">
        <v>148703</v>
      </c>
      <c r="H54" s="1">
        <v>155482</v>
      </c>
      <c r="I54" s="2">
        <f t="shared" si="0"/>
        <v>24.558986108663259</v>
      </c>
      <c r="J54" s="1" t="str">
        <f t="shared" si="1"/>
        <v>Small</v>
      </c>
    </row>
    <row r="55" spans="1:10" x14ac:dyDescent="0.2">
      <c r="A55" s="1" t="s">
        <v>50</v>
      </c>
      <c r="B55" s="1">
        <v>586490</v>
      </c>
      <c r="C55" s="1">
        <v>647446</v>
      </c>
      <c r="D55" s="1">
        <v>683076</v>
      </c>
      <c r="E55" s="1">
        <v>788351</v>
      </c>
      <c r="F55" s="1">
        <v>947667</v>
      </c>
      <c r="G55" s="1">
        <v>1127816</v>
      </c>
      <c r="H55" s="1">
        <v>1302247</v>
      </c>
      <c r="I55" s="2">
        <f t="shared" si="0"/>
        <v>122.04078500912206</v>
      </c>
      <c r="J55" s="1" t="str">
        <f t="shared" si="1"/>
        <v>Medium</v>
      </c>
    </row>
    <row r="56" spans="1:10" x14ac:dyDescent="0.2">
      <c r="A56" s="1" t="s">
        <v>51</v>
      </c>
      <c r="B56" s="1">
        <v>9602006</v>
      </c>
      <c r="C56" s="1">
        <v>9858071</v>
      </c>
      <c r="D56" s="1">
        <v>10304193</v>
      </c>
      <c r="E56" s="1">
        <v>10333355</v>
      </c>
      <c r="F56" s="1">
        <v>10255063</v>
      </c>
      <c r="G56" s="1">
        <v>10474410</v>
      </c>
      <c r="H56" s="1">
        <v>10697858</v>
      </c>
      <c r="I56" s="2">
        <f t="shared" si="0"/>
        <v>11.41274021282636</v>
      </c>
      <c r="J56" s="1" t="str">
        <f t="shared" si="1"/>
        <v>Large</v>
      </c>
    </row>
    <row r="57" spans="1:10" x14ac:dyDescent="0.2">
      <c r="A57" s="1" t="s">
        <v>55</v>
      </c>
      <c r="B57" s="1">
        <v>4579603</v>
      </c>
      <c r="C57" s="1">
        <v>4928757</v>
      </c>
      <c r="D57" s="1">
        <v>5123027</v>
      </c>
      <c r="E57" s="1">
        <v>5140939</v>
      </c>
      <c r="F57" s="1">
        <v>5339616</v>
      </c>
      <c r="G57" s="1">
        <v>5547683</v>
      </c>
      <c r="H57" s="1">
        <v>5831404</v>
      </c>
      <c r="I57" s="2">
        <f t="shared" si="0"/>
        <v>27.334268931171547</v>
      </c>
      <c r="J57" s="1" t="str">
        <f t="shared" si="1"/>
        <v>Medium</v>
      </c>
    </row>
    <row r="58" spans="1:10" x14ac:dyDescent="0.2">
      <c r="A58" s="1" t="s">
        <v>53</v>
      </c>
      <c r="B58" s="1">
        <v>86024</v>
      </c>
      <c r="C58" s="1">
        <v>145175</v>
      </c>
      <c r="D58" s="1">
        <v>325815</v>
      </c>
      <c r="E58" s="1">
        <v>579538</v>
      </c>
      <c r="F58" s="1">
        <v>747318</v>
      </c>
      <c r="G58" s="1">
        <v>930251</v>
      </c>
      <c r="H58" s="1">
        <v>1105188</v>
      </c>
      <c r="I58" s="2">
        <f t="shared" si="0"/>
        <v>1184.7437924300195</v>
      </c>
      <c r="J58" s="1" t="str">
        <f t="shared" si="1"/>
        <v>Medium</v>
      </c>
    </row>
    <row r="59" spans="1:10" x14ac:dyDescent="0.2">
      <c r="A59" s="1" t="s">
        <v>54</v>
      </c>
      <c r="B59" s="1">
        <v>59372</v>
      </c>
      <c r="C59" s="1">
        <v>68908</v>
      </c>
      <c r="D59" s="1">
        <v>73083</v>
      </c>
      <c r="E59" s="1">
        <v>69627</v>
      </c>
      <c r="F59" s="1">
        <v>68511</v>
      </c>
      <c r="G59" s="1">
        <v>68859</v>
      </c>
      <c r="H59" s="1">
        <v>67573</v>
      </c>
      <c r="I59" s="2">
        <f t="shared" si="0"/>
        <v>13.812908441689686</v>
      </c>
      <c r="J59" s="1" t="str">
        <f t="shared" si="1"/>
        <v>Small</v>
      </c>
    </row>
    <row r="60" spans="1:10" x14ac:dyDescent="0.2">
      <c r="A60" s="1" t="s">
        <v>56</v>
      </c>
      <c r="B60" s="1">
        <v>3268336</v>
      </c>
      <c r="C60" s="1">
        <v>4399290</v>
      </c>
      <c r="D60" s="1">
        <v>5729037</v>
      </c>
      <c r="E60" s="1">
        <v>7151166</v>
      </c>
      <c r="F60" s="1">
        <v>8584190</v>
      </c>
      <c r="G60" s="1">
        <v>9820175</v>
      </c>
      <c r="H60" s="1">
        <v>11008300</v>
      </c>
      <c r="I60" s="2">
        <f t="shared" si="0"/>
        <v>236.81665532552344</v>
      </c>
      <c r="J60" s="1" t="str">
        <f t="shared" si="1"/>
        <v>Large</v>
      </c>
    </row>
    <row r="61" spans="1:10" x14ac:dyDescent="0.2">
      <c r="A61" s="1" t="s">
        <v>58</v>
      </c>
      <c r="B61" s="1">
        <v>4590891</v>
      </c>
      <c r="C61" s="1">
        <v>6155387</v>
      </c>
      <c r="D61" s="1">
        <v>8165877</v>
      </c>
      <c r="E61" s="1">
        <v>10473673</v>
      </c>
      <c r="F61" s="1">
        <v>12689206</v>
      </c>
      <c r="G61" s="1">
        <v>15076695</v>
      </c>
      <c r="H61" s="1">
        <v>17546065</v>
      </c>
      <c r="I61" s="2">
        <f t="shared" si="0"/>
        <v>282.1930209190329</v>
      </c>
      <c r="J61" s="1" t="str">
        <f t="shared" si="1"/>
        <v>Large</v>
      </c>
    </row>
    <row r="62" spans="1:10" x14ac:dyDescent="0.2">
      <c r="A62" s="1" t="s">
        <v>59</v>
      </c>
      <c r="B62" s="1">
        <v>26896479</v>
      </c>
      <c r="C62" s="1">
        <v>34623990</v>
      </c>
      <c r="D62" s="1">
        <v>43950413</v>
      </c>
      <c r="E62" s="1">
        <v>58396618</v>
      </c>
      <c r="F62" s="1">
        <v>73083284</v>
      </c>
      <c r="G62" s="1">
        <v>89196072</v>
      </c>
      <c r="H62" s="1">
        <v>109315124</v>
      </c>
      <c r="I62" s="2">
        <f t="shared" si="0"/>
        <v>306.42912405002903</v>
      </c>
      <c r="J62" s="1" t="str">
        <f t="shared" si="1"/>
        <v>Large</v>
      </c>
    </row>
    <row r="63" spans="1:10" x14ac:dyDescent="0.2">
      <c r="A63" s="1" t="s">
        <v>173</v>
      </c>
      <c r="B63" s="1">
        <v>2791459</v>
      </c>
      <c r="C63" s="1">
        <v>3668796</v>
      </c>
      <c r="D63" s="1">
        <v>4540382</v>
      </c>
      <c r="E63" s="1">
        <v>5399726</v>
      </c>
      <c r="F63" s="1">
        <v>5943366</v>
      </c>
      <c r="G63" s="1">
        <v>6068249</v>
      </c>
      <c r="H63" s="1">
        <v>6234673</v>
      </c>
      <c r="I63" s="2">
        <f t="shared" si="0"/>
        <v>123.34818458734303</v>
      </c>
      <c r="J63" s="1" t="str">
        <f t="shared" si="1"/>
        <v>Medium</v>
      </c>
    </row>
    <row r="64" spans="1:10" x14ac:dyDescent="0.2">
      <c r="A64" s="1" t="s">
        <v>77</v>
      </c>
      <c r="B64" s="1">
        <v>269807</v>
      </c>
      <c r="C64" s="1">
        <v>320803</v>
      </c>
      <c r="D64" s="1">
        <v>288644</v>
      </c>
      <c r="E64" s="1">
        <v>474274</v>
      </c>
      <c r="F64" s="1">
        <v>703279</v>
      </c>
      <c r="G64" s="1">
        <v>1189085</v>
      </c>
      <c r="H64" s="1">
        <v>1716468</v>
      </c>
      <c r="I64" s="2">
        <f t="shared" si="0"/>
        <v>536.183642381406</v>
      </c>
      <c r="J64" s="1" t="str">
        <f t="shared" si="1"/>
        <v>Medium</v>
      </c>
    </row>
    <row r="65" spans="1:10" x14ac:dyDescent="0.2">
      <c r="A65" s="1" t="s">
        <v>60</v>
      </c>
      <c r="B65" s="1">
        <v>972547</v>
      </c>
      <c r="C65" s="1">
        <v>1243453</v>
      </c>
      <c r="D65" s="1">
        <v>1605797</v>
      </c>
      <c r="E65" s="1">
        <v>2032737</v>
      </c>
      <c r="F65" s="1">
        <v>2247031</v>
      </c>
      <c r="G65" s="1">
        <v>2945186</v>
      </c>
      <c r="H65" s="1">
        <v>3291271</v>
      </c>
      <c r="I65" s="2">
        <f t="shared" si="0"/>
        <v>238.41768058510283</v>
      </c>
      <c r="J65" s="1" t="str">
        <f t="shared" si="1"/>
        <v>Medium</v>
      </c>
    </row>
    <row r="66" spans="1:10" x14ac:dyDescent="0.2">
      <c r="A66" s="1" t="s">
        <v>62</v>
      </c>
      <c r="B66" s="1">
        <v>1211537</v>
      </c>
      <c r="C66" s="1">
        <v>1360076</v>
      </c>
      <c r="D66" s="1">
        <v>1477219</v>
      </c>
      <c r="E66" s="1">
        <v>1569174</v>
      </c>
      <c r="F66" s="1">
        <v>1396985</v>
      </c>
      <c r="G66" s="1">
        <v>1331475</v>
      </c>
      <c r="H66" s="1">
        <v>1329522</v>
      </c>
      <c r="I66" s="2">
        <f t="shared" si="0"/>
        <v>9.7384561924233441</v>
      </c>
      <c r="J66" s="1" t="str">
        <f t="shared" si="1"/>
        <v>Medium</v>
      </c>
    </row>
    <row r="67" spans="1:10" x14ac:dyDescent="0.2">
      <c r="A67" s="1" t="s">
        <v>183</v>
      </c>
      <c r="B67" s="1">
        <v>345337</v>
      </c>
      <c r="C67" s="1">
        <v>441216</v>
      </c>
      <c r="D67" s="1">
        <v>596644</v>
      </c>
      <c r="E67" s="1">
        <v>872428</v>
      </c>
      <c r="F67" s="1">
        <v>1041414</v>
      </c>
      <c r="G67" s="1">
        <v>1111650</v>
      </c>
      <c r="H67" s="1">
        <v>1192729</v>
      </c>
      <c r="I67" s="2">
        <f t="shared" si="0"/>
        <v>245.38117838517161</v>
      </c>
      <c r="J67" s="1" t="str">
        <f t="shared" si="1"/>
        <v>Medium</v>
      </c>
    </row>
    <row r="68" spans="1:10" x14ac:dyDescent="0.2">
      <c r="A68" s="1" t="s">
        <v>63</v>
      </c>
      <c r="B68" s="1">
        <v>21376693</v>
      </c>
      <c r="C68" s="1">
        <v>27829128</v>
      </c>
      <c r="D68" s="1">
        <v>34428514</v>
      </c>
      <c r="E68" s="1">
        <v>47609755</v>
      </c>
      <c r="F68" s="1">
        <v>67411494</v>
      </c>
      <c r="G68" s="1">
        <v>90538514</v>
      </c>
      <c r="H68" s="1">
        <v>118917671</v>
      </c>
      <c r="I68" s="2">
        <f t="shared" si="0"/>
        <v>456.29592004712799</v>
      </c>
      <c r="J68" s="1" t="str">
        <f t="shared" si="1"/>
        <v>Large</v>
      </c>
    </row>
    <row r="69" spans="1:10" x14ac:dyDescent="0.2">
      <c r="A69" s="1" t="s">
        <v>67</v>
      </c>
      <c r="B69" s="1">
        <v>34127</v>
      </c>
      <c r="C69" s="1">
        <v>38269</v>
      </c>
      <c r="D69" s="1">
        <v>43072</v>
      </c>
      <c r="E69" s="1">
        <v>47740</v>
      </c>
      <c r="F69" s="1">
        <v>45754</v>
      </c>
      <c r="G69" s="1">
        <v>48657</v>
      </c>
      <c r="H69" s="1">
        <v>52565</v>
      </c>
      <c r="I69" s="2">
        <f t="shared" si="0"/>
        <v>54.027602777859173</v>
      </c>
      <c r="J69" s="1" t="str">
        <f t="shared" si="1"/>
        <v>Small</v>
      </c>
    </row>
    <row r="70" spans="1:10" x14ac:dyDescent="0.2">
      <c r="A70" s="1" t="s">
        <v>65</v>
      </c>
      <c r="B70" s="1">
        <v>404887</v>
      </c>
      <c r="C70" s="1">
        <v>531188</v>
      </c>
      <c r="D70" s="1">
        <v>641975</v>
      </c>
      <c r="E70" s="1">
        <v>773316</v>
      </c>
      <c r="F70" s="1">
        <v>840909</v>
      </c>
      <c r="G70" s="1">
        <v>910419</v>
      </c>
      <c r="H70" s="1">
        <v>914963</v>
      </c>
      <c r="I70" s="2">
        <f t="shared" si="0"/>
        <v>125.97984128905102</v>
      </c>
      <c r="J70" s="1" t="str">
        <f t="shared" si="1"/>
        <v>Small</v>
      </c>
    </row>
    <row r="71" spans="1:10" x14ac:dyDescent="0.2">
      <c r="A71" s="1" t="s">
        <v>64</v>
      </c>
      <c r="B71" s="1">
        <v>4429634</v>
      </c>
      <c r="C71" s="1">
        <v>4606307</v>
      </c>
      <c r="D71" s="1">
        <v>4779535</v>
      </c>
      <c r="E71" s="1">
        <v>4986431</v>
      </c>
      <c r="F71" s="1">
        <v>5176209</v>
      </c>
      <c r="G71" s="1">
        <v>5363352</v>
      </c>
      <c r="H71" s="1">
        <v>5529543</v>
      </c>
      <c r="I71" s="2">
        <f t="shared" si="0"/>
        <v>24.830697073392518</v>
      </c>
      <c r="J71" s="1" t="str">
        <f t="shared" si="1"/>
        <v>Medium</v>
      </c>
    </row>
    <row r="72" spans="1:10" x14ac:dyDescent="0.2">
      <c r="A72" s="1" t="s">
        <v>66</v>
      </c>
      <c r="B72" s="1">
        <v>47412964</v>
      </c>
      <c r="C72" s="1">
        <v>52007169</v>
      </c>
      <c r="D72" s="1">
        <v>55274184</v>
      </c>
      <c r="E72" s="1">
        <v>58261012</v>
      </c>
      <c r="F72" s="1">
        <v>60918661</v>
      </c>
      <c r="G72" s="1">
        <v>65026211</v>
      </c>
      <c r="H72" s="1">
        <v>67601110</v>
      </c>
      <c r="I72" s="2">
        <f t="shared" si="0"/>
        <v>42.579379766259713</v>
      </c>
      <c r="J72" s="1" t="str">
        <f t="shared" si="1"/>
        <v>Large</v>
      </c>
    </row>
    <row r="73" spans="1:10" x14ac:dyDescent="0.2">
      <c r="A73" s="1" t="s">
        <v>163</v>
      </c>
      <c r="B73" s="1">
        <v>83671</v>
      </c>
      <c r="C73" s="1">
        <v>114010</v>
      </c>
      <c r="D73" s="1">
        <v>156471</v>
      </c>
      <c r="E73" s="1">
        <v>203776</v>
      </c>
      <c r="F73" s="1">
        <v>240337</v>
      </c>
      <c r="G73" s="1">
        <v>270580</v>
      </c>
      <c r="H73" s="1">
        <v>279209</v>
      </c>
      <c r="I73" s="2">
        <f t="shared" si="0"/>
        <v>233.69865305780974</v>
      </c>
      <c r="J73" s="1" t="str">
        <f t="shared" si="1"/>
        <v>Small</v>
      </c>
    </row>
    <row r="74" spans="1:10" x14ac:dyDescent="0.2">
      <c r="A74" s="1" t="s">
        <v>69</v>
      </c>
      <c r="B74" s="1">
        <v>512316</v>
      </c>
      <c r="C74" s="1">
        <v>595846</v>
      </c>
      <c r="D74" s="1">
        <v>748389</v>
      </c>
      <c r="E74" s="1">
        <v>983734</v>
      </c>
      <c r="F74" s="1">
        <v>1275572</v>
      </c>
      <c r="G74" s="1">
        <v>1719879</v>
      </c>
      <c r="H74" s="1">
        <v>2322539</v>
      </c>
      <c r="I74" s="2">
        <f t="shared" si="0"/>
        <v>353.34110197612409</v>
      </c>
      <c r="J74" s="1" t="str">
        <f t="shared" si="1"/>
        <v>Medium</v>
      </c>
    </row>
    <row r="75" spans="1:10" x14ac:dyDescent="0.2">
      <c r="A75" s="1" t="s">
        <v>75</v>
      </c>
      <c r="B75" s="1">
        <v>398060</v>
      </c>
      <c r="C75" s="1">
        <v>524105</v>
      </c>
      <c r="D75" s="1">
        <v>713913</v>
      </c>
      <c r="E75" s="1">
        <v>1054696</v>
      </c>
      <c r="F75" s="1">
        <v>1455084</v>
      </c>
      <c r="G75" s="1">
        <v>1926630</v>
      </c>
      <c r="H75" s="1">
        <v>2515733</v>
      </c>
      <c r="I75" s="2">
        <f t="shared" si="0"/>
        <v>531.99844244586245</v>
      </c>
      <c r="J75" s="1" t="str">
        <f t="shared" si="1"/>
        <v>Medium</v>
      </c>
    </row>
    <row r="76" spans="1:10" x14ac:dyDescent="0.2">
      <c r="A76" s="1" t="s">
        <v>71</v>
      </c>
      <c r="B76" s="1">
        <v>3645600</v>
      </c>
      <c r="C76" s="1">
        <v>4119900</v>
      </c>
      <c r="D76" s="1">
        <v>4467700</v>
      </c>
      <c r="E76" s="1">
        <v>4802000</v>
      </c>
      <c r="F76" s="1">
        <v>4077131</v>
      </c>
      <c r="G76" s="1">
        <v>3786695</v>
      </c>
      <c r="H76" s="1">
        <v>3722716</v>
      </c>
      <c r="I76" s="2">
        <f t="shared" si="0"/>
        <v>2.1153170945797677</v>
      </c>
      <c r="J76" s="1" t="str">
        <f t="shared" si="1"/>
        <v>Medium</v>
      </c>
    </row>
    <row r="77" spans="1:10" x14ac:dyDescent="0.2">
      <c r="A77" s="1" t="s">
        <v>52</v>
      </c>
      <c r="B77" s="1">
        <v>72814900</v>
      </c>
      <c r="C77" s="1">
        <v>78169289</v>
      </c>
      <c r="D77" s="1">
        <v>78288576</v>
      </c>
      <c r="E77" s="1">
        <v>79433029</v>
      </c>
      <c r="F77" s="1">
        <v>82211508</v>
      </c>
      <c r="G77" s="1">
        <v>81776930</v>
      </c>
      <c r="H77" s="1">
        <v>83160871</v>
      </c>
      <c r="I77" s="2">
        <f t="shared" si="0"/>
        <v>14.208590549461716</v>
      </c>
      <c r="J77" s="1" t="str">
        <f t="shared" si="1"/>
        <v>Large</v>
      </c>
    </row>
    <row r="78" spans="1:10" x14ac:dyDescent="0.2">
      <c r="A78" s="1" t="s">
        <v>72</v>
      </c>
      <c r="B78" s="1">
        <v>6961215</v>
      </c>
      <c r="C78" s="1">
        <v>8925813</v>
      </c>
      <c r="D78" s="1">
        <v>11941448</v>
      </c>
      <c r="E78" s="1">
        <v>15394648</v>
      </c>
      <c r="F78" s="1">
        <v>19637087</v>
      </c>
      <c r="G78" s="1">
        <v>25474995</v>
      </c>
      <c r="H78" s="1">
        <v>31887809</v>
      </c>
      <c r="I78" s="2">
        <f t="shared" si="0"/>
        <v>358.07820904827679</v>
      </c>
      <c r="J78" s="1" t="str">
        <f t="shared" si="1"/>
        <v>Large</v>
      </c>
    </row>
    <row r="79" spans="1:10" x14ac:dyDescent="0.2">
      <c r="A79" s="1" t="s">
        <v>73</v>
      </c>
      <c r="B79" s="1">
        <v>21839</v>
      </c>
      <c r="C79" s="1">
        <v>26634</v>
      </c>
      <c r="D79" s="1">
        <v>28675</v>
      </c>
      <c r="E79" s="1">
        <v>27200</v>
      </c>
      <c r="F79" s="1">
        <v>27709</v>
      </c>
      <c r="G79" s="1">
        <v>31248</v>
      </c>
      <c r="H79" s="1">
        <v>36173</v>
      </c>
      <c r="I79" s="2">
        <f t="shared" si="0"/>
        <v>65.63487339163882</v>
      </c>
      <c r="J79" s="1" t="str">
        <f t="shared" si="1"/>
        <v>Small</v>
      </c>
    </row>
    <row r="80" spans="1:10" x14ac:dyDescent="0.2">
      <c r="A80" s="1" t="s">
        <v>78</v>
      </c>
      <c r="B80" s="1">
        <v>8331725</v>
      </c>
      <c r="C80" s="1">
        <v>8792806</v>
      </c>
      <c r="D80" s="1">
        <v>9642505</v>
      </c>
      <c r="E80" s="1">
        <v>10196792</v>
      </c>
      <c r="F80" s="1">
        <v>10805808</v>
      </c>
      <c r="G80" s="1">
        <v>11121341</v>
      </c>
      <c r="H80" s="1">
        <v>10698599</v>
      </c>
      <c r="I80" s="2">
        <f t="shared" si="0"/>
        <v>28.4079707383525</v>
      </c>
      <c r="J80" s="1" t="str">
        <f t="shared" si="1"/>
        <v>Large</v>
      </c>
    </row>
    <row r="81" spans="1:10" x14ac:dyDescent="0.2">
      <c r="A81" s="1" t="s">
        <v>80</v>
      </c>
      <c r="B81" s="1">
        <v>32500</v>
      </c>
      <c r="C81" s="1">
        <v>46400</v>
      </c>
      <c r="D81" s="1">
        <v>50200</v>
      </c>
      <c r="E81" s="1">
        <v>55600</v>
      </c>
      <c r="F81" s="1">
        <v>56185</v>
      </c>
      <c r="G81" s="1">
        <v>56534</v>
      </c>
      <c r="H81" s="1">
        <v>56367</v>
      </c>
      <c r="I81" s="2">
        <f t="shared" si="0"/>
        <v>73.43692307692308</v>
      </c>
      <c r="J81" s="1" t="str">
        <f t="shared" si="1"/>
        <v>Small</v>
      </c>
    </row>
    <row r="82" spans="1:10" x14ac:dyDescent="0.2">
      <c r="A82" s="1" t="s">
        <v>79</v>
      </c>
      <c r="B82" s="1">
        <v>94058</v>
      </c>
      <c r="C82" s="1">
        <v>98414</v>
      </c>
      <c r="D82" s="1">
        <v>94538</v>
      </c>
      <c r="E82" s="1">
        <v>99957</v>
      </c>
      <c r="F82" s="1">
        <v>107451</v>
      </c>
      <c r="G82" s="1">
        <v>111586</v>
      </c>
      <c r="H82" s="1">
        <v>116341</v>
      </c>
      <c r="I82" s="2">
        <f t="shared" si="0"/>
        <v>23.690701482064259</v>
      </c>
      <c r="J82" s="1" t="str">
        <f t="shared" si="1"/>
        <v>Small</v>
      </c>
    </row>
    <row r="83" spans="1:10" x14ac:dyDescent="0.2">
      <c r="A83" s="1" t="s">
        <v>82</v>
      </c>
      <c r="B83" s="1">
        <v>69525</v>
      </c>
      <c r="C83" s="1">
        <v>88365</v>
      </c>
      <c r="D83" s="1">
        <v>110141</v>
      </c>
      <c r="E83" s="1">
        <v>138610</v>
      </c>
      <c r="F83" s="1">
        <v>160065</v>
      </c>
      <c r="G83" s="1">
        <v>166522</v>
      </c>
      <c r="H83" s="1">
        <v>162158</v>
      </c>
      <c r="I83" s="2">
        <f t="shared" si="0"/>
        <v>133.23696512046027</v>
      </c>
      <c r="J83" s="1" t="str">
        <f t="shared" si="1"/>
        <v>Small</v>
      </c>
    </row>
    <row r="84" spans="1:10" x14ac:dyDescent="0.2">
      <c r="A84" s="1" t="s">
        <v>81</v>
      </c>
      <c r="B84" s="1">
        <v>4063655</v>
      </c>
      <c r="C84" s="1">
        <v>5396966</v>
      </c>
      <c r="D84" s="1">
        <v>6900212</v>
      </c>
      <c r="E84" s="1">
        <v>9024773</v>
      </c>
      <c r="F84" s="1">
        <v>11697592</v>
      </c>
      <c r="G84" s="1">
        <v>14500112</v>
      </c>
      <c r="H84" s="1">
        <v>17357325</v>
      </c>
      <c r="I84" s="2">
        <f t="shared" si="0"/>
        <v>327.13579277768412</v>
      </c>
      <c r="J84" s="1" t="str">
        <f t="shared" si="1"/>
        <v>Large</v>
      </c>
    </row>
    <row r="85" spans="1:10" x14ac:dyDescent="0.2">
      <c r="A85" s="1" t="s">
        <v>74</v>
      </c>
      <c r="B85" s="1">
        <v>3556749</v>
      </c>
      <c r="C85" s="1">
        <v>4277535</v>
      </c>
      <c r="D85" s="1">
        <v>5047419</v>
      </c>
      <c r="E85" s="1">
        <v>6434374</v>
      </c>
      <c r="F85" s="1">
        <v>8428832</v>
      </c>
      <c r="G85" s="1">
        <v>10396086</v>
      </c>
      <c r="H85" s="1">
        <v>13371183</v>
      </c>
      <c r="I85" s="2">
        <f t="shared" si="0"/>
        <v>275.93833582296645</v>
      </c>
      <c r="J85" s="1" t="str">
        <f t="shared" si="1"/>
        <v>Large</v>
      </c>
    </row>
    <row r="86" spans="1:10" x14ac:dyDescent="0.2">
      <c r="A86" s="1" t="s">
        <v>76</v>
      </c>
      <c r="B86" s="1">
        <v>577633</v>
      </c>
      <c r="C86" s="1">
        <v>584403</v>
      </c>
      <c r="D86" s="1">
        <v>829303</v>
      </c>
      <c r="E86" s="1">
        <v>973669</v>
      </c>
      <c r="F86" s="1">
        <v>1234741</v>
      </c>
      <c r="G86" s="1">
        <v>1566347</v>
      </c>
      <c r="H86" s="1">
        <v>2013255</v>
      </c>
      <c r="I86" s="2">
        <f t="shared" si="0"/>
        <v>248.53531567621653</v>
      </c>
      <c r="J86" s="1" t="str">
        <f t="shared" si="1"/>
        <v>Medium</v>
      </c>
    </row>
    <row r="87" spans="1:10" x14ac:dyDescent="0.2">
      <c r="A87" s="1" t="s">
        <v>83</v>
      </c>
      <c r="B87" s="1">
        <v>569143</v>
      </c>
      <c r="C87" s="1">
        <v>702705</v>
      </c>
      <c r="D87" s="1">
        <v>774367</v>
      </c>
      <c r="E87" s="1">
        <v>749894</v>
      </c>
      <c r="F87" s="1">
        <v>764832</v>
      </c>
      <c r="G87" s="1">
        <v>749256</v>
      </c>
      <c r="H87" s="1">
        <v>807481</v>
      </c>
      <c r="I87" s="2">
        <f t="shared" si="0"/>
        <v>41.876646115299671</v>
      </c>
      <c r="J87" s="1" t="str">
        <f t="shared" si="1"/>
        <v>Small</v>
      </c>
    </row>
    <row r="88" spans="1:10" x14ac:dyDescent="0.2">
      <c r="A88" s="1" t="s">
        <v>87</v>
      </c>
      <c r="B88" s="1">
        <v>3858443</v>
      </c>
      <c r="C88" s="1">
        <v>4635124</v>
      </c>
      <c r="D88" s="1">
        <v>5614493</v>
      </c>
      <c r="E88" s="1">
        <v>6854441</v>
      </c>
      <c r="F88" s="1">
        <v>8303151</v>
      </c>
      <c r="G88" s="1">
        <v>9803294</v>
      </c>
      <c r="H88" s="1">
        <v>11243848</v>
      </c>
      <c r="I88" s="2">
        <f t="shared" si="0"/>
        <v>191.40894397040464</v>
      </c>
      <c r="J88" s="1" t="str">
        <f t="shared" si="1"/>
        <v>Large</v>
      </c>
    </row>
    <row r="89" spans="1:10" x14ac:dyDescent="0.2">
      <c r="A89" s="1" t="s">
        <v>85</v>
      </c>
      <c r="B89" s="1">
        <v>2062060</v>
      </c>
      <c r="C89" s="1">
        <v>2750715</v>
      </c>
      <c r="D89" s="1">
        <v>3727173</v>
      </c>
      <c r="E89" s="1">
        <v>4980488</v>
      </c>
      <c r="F89" s="1">
        <v>6577773</v>
      </c>
      <c r="G89" s="1">
        <v>8365878</v>
      </c>
      <c r="H89" s="1">
        <v>10119640</v>
      </c>
      <c r="I89" s="2">
        <f t="shared" si="0"/>
        <v>390.75390628788688</v>
      </c>
      <c r="J89" s="1" t="str">
        <f t="shared" si="1"/>
        <v>Large</v>
      </c>
    </row>
    <row r="90" spans="1:10" x14ac:dyDescent="0.2">
      <c r="A90" s="1" t="s">
        <v>84</v>
      </c>
      <c r="B90" s="1">
        <v>3094840</v>
      </c>
      <c r="C90" s="1">
        <v>3959000</v>
      </c>
      <c r="D90" s="1">
        <v>5063100</v>
      </c>
      <c r="E90" s="1">
        <v>5704500</v>
      </c>
      <c r="F90" s="1">
        <v>6665000</v>
      </c>
      <c r="G90" s="1">
        <v>7024200</v>
      </c>
      <c r="H90" s="1">
        <v>7481000</v>
      </c>
      <c r="I90" s="2">
        <f t="shared" si="0"/>
        <v>141.72493569942225</v>
      </c>
      <c r="J90" s="1" t="str">
        <f t="shared" si="1"/>
        <v>Medium</v>
      </c>
    </row>
    <row r="91" spans="1:10" x14ac:dyDescent="0.2">
      <c r="A91" s="1" t="s">
        <v>88</v>
      </c>
      <c r="B91" s="1">
        <v>9983512</v>
      </c>
      <c r="C91" s="1">
        <v>10337910</v>
      </c>
      <c r="D91" s="1">
        <v>10711122</v>
      </c>
      <c r="E91" s="1">
        <v>10373988</v>
      </c>
      <c r="F91" s="1">
        <v>10210971</v>
      </c>
      <c r="G91" s="1">
        <v>10000023</v>
      </c>
      <c r="H91" s="1">
        <v>9670419</v>
      </c>
      <c r="I91" s="2">
        <f t="shared" si="0"/>
        <v>-3.136100803003993</v>
      </c>
      <c r="J91" s="1" t="str">
        <f t="shared" si="1"/>
        <v>Medium</v>
      </c>
    </row>
    <row r="92" spans="1:10" x14ac:dyDescent="0.2">
      <c r="A92" s="1" t="s">
        <v>95</v>
      </c>
      <c r="B92" s="1">
        <v>175574</v>
      </c>
      <c r="C92" s="1">
        <v>204438</v>
      </c>
      <c r="D92" s="1">
        <v>228138</v>
      </c>
      <c r="E92" s="1">
        <v>254826</v>
      </c>
      <c r="F92" s="1">
        <v>281205</v>
      </c>
      <c r="G92" s="1">
        <v>318041</v>
      </c>
      <c r="H92" s="1">
        <v>366463</v>
      </c>
      <c r="I92" s="2">
        <f t="shared" si="0"/>
        <v>108.72281772927654</v>
      </c>
      <c r="J92" s="1" t="str">
        <f t="shared" si="1"/>
        <v>Small</v>
      </c>
    </row>
    <row r="93" spans="1:10" x14ac:dyDescent="0.2">
      <c r="A93" s="1" t="s">
        <v>91</v>
      </c>
      <c r="B93" s="1">
        <v>435990338</v>
      </c>
      <c r="C93" s="1">
        <v>545864268</v>
      </c>
      <c r="D93" s="1">
        <v>687354025</v>
      </c>
      <c r="E93" s="1">
        <v>864972221</v>
      </c>
      <c r="F93" s="1">
        <v>1057922733</v>
      </c>
      <c r="G93" s="1">
        <v>1243481564</v>
      </c>
      <c r="H93" s="1">
        <v>1402617695</v>
      </c>
      <c r="I93" s="2">
        <f t="shared" si="0"/>
        <v>221.70843542867686</v>
      </c>
      <c r="J93" s="1" t="str">
        <f t="shared" si="1"/>
        <v>Large</v>
      </c>
    </row>
    <row r="94" spans="1:10" x14ac:dyDescent="0.2">
      <c r="A94" s="1" t="s">
        <v>89</v>
      </c>
      <c r="B94" s="1">
        <v>88296070</v>
      </c>
      <c r="C94" s="1">
        <v>115657495</v>
      </c>
      <c r="D94" s="1">
        <v>148950540</v>
      </c>
      <c r="E94" s="1">
        <v>183501098</v>
      </c>
      <c r="F94" s="1">
        <v>216077790</v>
      </c>
      <c r="G94" s="1">
        <v>246305322</v>
      </c>
      <c r="H94" s="1">
        <v>274814866</v>
      </c>
      <c r="I94" s="2">
        <f t="shared" si="0"/>
        <v>211.24246639742856</v>
      </c>
      <c r="J94" s="1" t="str">
        <f t="shared" si="1"/>
        <v>Large</v>
      </c>
    </row>
    <row r="95" spans="1:10" x14ac:dyDescent="0.2">
      <c r="A95" s="1" t="s">
        <v>93</v>
      </c>
      <c r="B95" s="1">
        <v>21470434</v>
      </c>
      <c r="C95" s="1">
        <v>29145100</v>
      </c>
      <c r="D95" s="1">
        <v>39842324</v>
      </c>
      <c r="E95" s="1">
        <v>58380092</v>
      </c>
      <c r="F95" s="1">
        <v>66418659</v>
      </c>
      <c r="G95" s="1">
        <v>77420842</v>
      </c>
      <c r="H95" s="1">
        <v>87723443</v>
      </c>
      <c r="I95" s="2">
        <f t="shared" si="0"/>
        <v>308.57787504435169</v>
      </c>
      <c r="J95" s="1" t="str">
        <f t="shared" si="1"/>
        <v>Large</v>
      </c>
    </row>
    <row r="96" spans="1:10" x14ac:dyDescent="0.2">
      <c r="A96" s="1" t="s">
        <v>94</v>
      </c>
      <c r="B96" s="1">
        <v>7022052</v>
      </c>
      <c r="C96" s="1">
        <v>9735611</v>
      </c>
      <c r="D96" s="1">
        <v>13591992</v>
      </c>
      <c r="E96" s="1">
        <v>17581206</v>
      </c>
      <c r="F96" s="1">
        <v>24424056</v>
      </c>
      <c r="G96" s="1">
        <v>31045366</v>
      </c>
      <c r="H96" s="1">
        <v>42116605</v>
      </c>
      <c r="I96" s="2">
        <f t="shared" si="0"/>
        <v>499.77631894494658</v>
      </c>
      <c r="J96" s="1" t="str">
        <f t="shared" si="1"/>
        <v>Large</v>
      </c>
    </row>
    <row r="97" spans="1:10" x14ac:dyDescent="0.2">
      <c r="A97" s="1" t="s">
        <v>92</v>
      </c>
      <c r="B97" s="1">
        <v>2828600</v>
      </c>
      <c r="C97" s="1">
        <v>2957250</v>
      </c>
      <c r="D97" s="1">
        <v>3412800</v>
      </c>
      <c r="E97" s="1">
        <v>3513974</v>
      </c>
      <c r="F97" s="1">
        <v>3805174</v>
      </c>
      <c r="G97" s="1">
        <v>4560155</v>
      </c>
      <c r="H97" s="1">
        <v>5039747</v>
      </c>
      <c r="I97" s="2">
        <f t="shared" si="0"/>
        <v>78.171074029555257</v>
      </c>
      <c r="J97" s="1" t="str">
        <f t="shared" si="1"/>
        <v>Medium</v>
      </c>
    </row>
    <row r="98" spans="1:10" x14ac:dyDescent="0.2">
      <c r="A98" s="1" t="s">
        <v>90</v>
      </c>
      <c r="B98" s="1">
        <v>48868</v>
      </c>
      <c r="C98" s="1">
        <v>55300</v>
      </c>
      <c r="D98" s="1">
        <v>64076</v>
      </c>
      <c r="E98" s="1">
        <v>68916</v>
      </c>
      <c r="F98" s="1">
        <v>75659</v>
      </c>
      <c r="G98" s="1">
        <v>83873</v>
      </c>
      <c r="H98" s="1">
        <v>84064</v>
      </c>
      <c r="I98" s="2">
        <f t="shared" si="0"/>
        <v>72.022591470901205</v>
      </c>
      <c r="J98" s="1" t="str">
        <f t="shared" si="1"/>
        <v>Small</v>
      </c>
    </row>
    <row r="99" spans="1:10" x14ac:dyDescent="0.2">
      <c r="A99" s="1" t="s">
        <v>96</v>
      </c>
      <c r="B99" s="1">
        <v>2114020</v>
      </c>
      <c r="C99" s="1">
        <v>2974000</v>
      </c>
      <c r="D99" s="1">
        <v>3878000</v>
      </c>
      <c r="E99" s="1">
        <v>4660000</v>
      </c>
      <c r="F99" s="1">
        <v>6289000</v>
      </c>
      <c r="G99" s="1">
        <v>7623600</v>
      </c>
      <c r="H99" s="1">
        <v>9215100</v>
      </c>
      <c r="I99" s="2">
        <f t="shared" si="0"/>
        <v>335.9041068674847</v>
      </c>
      <c r="J99" s="1" t="str">
        <f t="shared" si="1"/>
        <v>Medium</v>
      </c>
    </row>
    <row r="100" spans="1:10" x14ac:dyDescent="0.2">
      <c r="A100" s="1" t="s">
        <v>97</v>
      </c>
      <c r="B100" s="1">
        <v>50199700</v>
      </c>
      <c r="C100" s="1">
        <v>53821850</v>
      </c>
      <c r="D100" s="1">
        <v>56433883</v>
      </c>
      <c r="E100" s="1">
        <v>56719240</v>
      </c>
      <c r="F100" s="1">
        <v>56942108</v>
      </c>
      <c r="G100" s="1">
        <v>59819407</v>
      </c>
      <c r="H100" s="1">
        <v>59438851</v>
      </c>
      <c r="I100" s="2">
        <f t="shared" si="0"/>
        <v>18.404793255736589</v>
      </c>
      <c r="J100" s="1" t="str">
        <f t="shared" si="1"/>
        <v>Large</v>
      </c>
    </row>
    <row r="101" spans="1:10" x14ac:dyDescent="0.2">
      <c r="A101" s="1" t="s">
        <v>98</v>
      </c>
      <c r="B101" s="1">
        <v>1650005</v>
      </c>
      <c r="C101" s="1">
        <v>1878196</v>
      </c>
      <c r="D101" s="1">
        <v>2145658</v>
      </c>
      <c r="E101" s="1">
        <v>2379877</v>
      </c>
      <c r="F101" s="1">
        <v>2607826</v>
      </c>
      <c r="G101" s="1">
        <v>2748568</v>
      </c>
      <c r="H101" s="1">
        <v>2830739</v>
      </c>
      <c r="I101" s="2">
        <f t="shared" si="0"/>
        <v>71.559419516910552</v>
      </c>
      <c r="J101" s="1" t="str">
        <f t="shared" si="1"/>
        <v>Medium</v>
      </c>
    </row>
    <row r="102" spans="1:10" x14ac:dyDescent="0.2">
      <c r="A102" s="1" t="s">
        <v>100</v>
      </c>
      <c r="B102" s="1">
        <v>93216000</v>
      </c>
      <c r="C102" s="1">
        <v>103403000</v>
      </c>
      <c r="D102" s="1">
        <v>116807000</v>
      </c>
      <c r="E102" s="1">
        <v>123478000</v>
      </c>
      <c r="F102" s="1">
        <v>126843000</v>
      </c>
      <c r="G102" s="1">
        <v>128070000</v>
      </c>
      <c r="H102" s="1">
        <v>126261000</v>
      </c>
      <c r="I102" s="2">
        <f t="shared" si="0"/>
        <v>35.449922760041197</v>
      </c>
      <c r="J102" s="1" t="str">
        <f t="shared" si="1"/>
        <v>Large</v>
      </c>
    </row>
    <row r="103" spans="1:10" x14ac:dyDescent="0.2">
      <c r="A103" s="1" t="s">
        <v>99</v>
      </c>
      <c r="B103" s="1">
        <v>853471</v>
      </c>
      <c r="C103" s="1">
        <v>1565163</v>
      </c>
      <c r="D103" s="1">
        <v>2234186</v>
      </c>
      <c r="E103" s="1">
        <v>3621908</v>
      </c>
      <c r="F103" s="1">
        <v>5386945</v>
      </c>
      <c r="G103" s="1">
        <v>7297043</v>
      </c>
      <c r="H103" s="1">
        <v>10865228</v>
      </c>
      <c r="I103" s="2">
        <f t="shared" si="0"/>
        <v>1173.0635252984578</v>
      </c>
      <c r="J103" s="1" t="str">
        <f t="shared" si="1"/>
        <v>Large</v>
      </c>
    </row>
    <row r="104" spans="1:10" x14ac:dyDescent="0.2">
      <c r="A104" s="1" t="s">
        <v>101</v>
      </c>
      <c r="B104" s="1">
        <v>9429981</v>
      </c>
      <c r="C104" s="1">
        <v>12419057</v>
      </c>
      <c r="D104" s="1">
        <v>15152949</v>
      </c>
      <c r="E104" s="1">
        <v>17154054</v>
      </c>
      <c r="F104" s="1">
        <v>15501103</v>
      </c>
      <c r="G104" s="1">
        <v>16836810</v>
      </c>
      <c r="H104" s="1">
        <v>19482117</v>
      </c>
      <c r="I104" s="2">
        <f t="shared" si="0"/>
        <v>106.59762729108363</v>
      </c>
      <c r="J104" s="1" t="str">
        <f t="shared" si="1"/>
        <v>Large</v>
      </c>
    </row>
    <row r="105" spans="1:10" x14ac:dyDescent="0.2">
      <c r="A105" s="1" t="s">
        <v>102</v>
      </c>
      <c r="B105" s="1">
        <v>7695307</v>
      </c>
      <c r="C105" s="1">
        <v>11368791</v>
      </c>
      <c r="D105" s="1">
        <v>16018459</v>
      </c>
      <c r="E105" s="1">
        <v>22892651</v>
      </c>
      <c r="F105" s="1">
        <v>30642890</v>
      </c>
      <c r="G105" s="1">
        <v>41598567</v>
      </c>
      <c r="H105" s="1">
        <v>52217334</v>
      </c>
      <c r="I105" s="2">
        <f t="shared" si="0"/>
        <v>578.56076437236356</v>
      </c>
      <c r="J105" s="1" t="str">
        <f t="shared" si="1"/>
        <v>Large</v>
      </c>
    </row>
    <row r="106" spans="1:10" x14ac:dyDescent="0.2">
      <c r="A106" s="1" t="s">
        <v>105</v>
      </c>
      <c r="B106" s="1">
        <v>47157</v>
      </c>
      <c r="C106" s="1">
        <v>57510</v>
      </c>
      <c r="D106" s="1">
        <v>61148</v>
      </c>
      <c r="E106" s="1">
        <v>74855</v>
      </c>
      <c r="F106" s="1">
        <v>88613</v>
      </c>
      <c r="G106" s="1">
        <v>108704</v>
      </c>
      <c r="H106" s="1">
        <v>126099</v>
      </c>
      <c r="I106" s="2">
        <f t="shared" si="0"/>
        <v>167.40250652077106</v>
      </c>
      <c r="J106" s="1" t="str">
        <f t="shared" si="1"/>
        <v>Small</v>
      </c>
    </row>
    <row r="107" spans="1:10" x14ac:dyDescent="0.2">
      <c r="A107" s="1" t="s">
        <v>159</v>
      </c>
      <c r="B107" s="1">
        <v>11722953</v>
      </c>
      <c r="C107" s="1">
        <v>15172775</v>
      </c>
      <c r="D107" s="1">
        <v>18236786</v>
      </c>
      <c r="E107" s="1">
        <v>21112137</v>
      </c>
      <c r="F107" s="1">
        <v>23665910</v>
      </c>
      <c r="G107" s="1">
        <v>24987258</v>
      </c>
      <c r="H107" s="1">
        <v>26136312</v>
      </c>
      <c r="I107" s="2">
        <f t="shared" si="0"/>
        <v>122.94990008063668</v>
      </c>
      <c r="J107" s="1" t="str">
        <f t="shared" si="1"/>
        <v>Large</v>
      </c>
    </row>
    <row r="108" spans="1:10" x14ac:dyDescent="0.2">
      <c r="A108" s="1" t="s">
        <v>107</v>
      </c>
      <c r="B108" s="1">
        <v>25012374</v>
      </c>
      <c r="C108" s="1">
        <v>32240827</v>
      </c>
      <c r="D108" s="1">
        <v>38123775</v>
      </c>
      <c r="E108" s="1">
        <v>42869283</v>
      </c>
      <c r="F108" s="1">
        <v>47008111</v>
      </c>
      <c r="G108" s="1">
        <v>49554112</v>
      </c>
      <c r="H108" s="1">
        <v>51836239</v>
      </c>
      <c r="I108" s="2">
        <f t="shared" si="0"/>
        <v>107.24237931193576</v>
      </c>
      <c r="J108" s="1" t="str">
        <f t="shared" si="1"/>
        <v>Large</v>
      </c>
    </row>
    <row r="109" spans="1:10" x14ac:dyDescent="0.2">
      <c r="A109" s="1" t="s">
        <v>212</v>
      </c>
      <c r="B109" s="1">
        <v>984846</v>
      </c>
      <c r="C109" s="1">
        <v>1249555</v>
      </c>
      <c r="D109" s="1">
        <v>1604818</v>
      </c>
      <c r="E109" s="1">
        <v>1973790</v>
      </c>
      <c r="F109" s="1">
        <v>1802493</v>
      </c>
      <c r="G109" s="1">
        <v>1788743</v>
      </c>
      <c r="H109" s="1">
        <v>1790151</v>
      </c>
      <c r="I109" s="2">
        <f t="shared" si="0"/>
        <v>81.769637080315093</v>
      </c>
      <c r="J109" s="1" t="str">
        <f t="shared" si="1"/>
        <v>Medium</v>
      </c>
    </row>
    <row r="110" spans="1:10" x14ac:dyDescent="0.2">
      <c r="A110" s="1" t="s">
        <v>108</v>
      </c>
      <c r="B110" s="1">
        <v>311060</v>
      </c>
      <c r="C110" s="1">
        <v>809114</v>
      </c>
      <c r="D110" s="1">
        <v>1504782</v>
      </c>
      <c r="E110" s="1">
        <v>1684819</v>
      </c>
      <c r="F110" s="1">
        <v>1954709</v>
      </c>
      <c r="G110" s="1">
        <v>2943372</v>
      </c>
      <c r="H110" s="1">
        <v>4400267</v>
      </c>
      <c r="I110" s="2">
        <f t="shared" si="0"/>
        <v>1314.6039349321675</v>
      </c>
      <c r="J110" s="1" t="str">
        <f t="shared" si="1"/>
        <v>Medium</v>
      </c>
    </row>
    <row r="111" spans="1:10" x14ac:dyDescent="0.2">
      <c r="A111" s="1" t="s">
        <v>103</v>
      </c>
      <c r="B111" s="1">
        <v>2172300</v>
      </c>
      <c r="C111" s="1">
        <v>2959900</v>
      </c>
      <c r="D111" s="1">
        <v>3617400</v>
      </c>
      <c r="E111" s="1">
        <v>4391236</v>
      </c>
      <c r="F111" s="1">
        <v>4898362</v>
      </c>
      <c r="G111" s="1">
        <v>5467059</v>
      </c>
      <c r="H111" s="1">
        <v>6726596</v>
      </c>
      <c r="I111" s="2">
        <f t="shared" si="0"/>
        <v>209.65317865856466</v>
      </c>
      <c r="J111" s="1" t="str">
        <f t="shared" si="1"/>
        <v>Medium</v>
      </c>
    </row>
    <row r="112" spans="1:10" x14ac:dyDescent="0.2">
      <c r="A112" s="1" t="s">
        <v>118</v>
      </c>
      <c r="B112" s="1">
        <v>2120979</v>
      </c>
      <c r="C112" s="1">
        <v>2359164</v>
      </c>
      <c r="D112" s="1">
        <v>2511701</v>
      </c>
      <c r="E112" s="1">
        <v>2663151</v>
      </c>
      <c r="F112" s="1">
        <v>2367550</v>
      </c>
      <c r="G112" s="1">
        <v>2097555</v>
      </c>
      <c r="H112" s="1">
        <v>1900449</v>
      </c>
      <c r="I112" s="2">
        <f t="shared" si="0"/>
        <v>-10.397556977226083</v>
      </c>
      <c r="J112" s="1" t="str">
        <f t="shared" si="1"/>
        <v>Medium</v>
      </c>
    </row>
    <row r="113" spans="1:10" x14ac:dyDescent="0.2">
      <c r="A113" s="1" t="s">
        <v>109</v>
      </c>
      <c r="B113" s="1">
        <v>1794406</v>
      </c>
      <c r="C113" s="1">
        <v>2386114</v>
      </c>
      <c r="D113" s="1">
        <v>2944763</v>
      </c>
      <c r="E113" s="1">
        <v>3595175</v>
      </c>
      <c r="F113" s="1">
        <v>4329340</v>
      </c>
      <c r="G113" s="1">
        <v>5041288</v>
      </c>
      <c r="H113" s="1">
        <v>5702398</v>
      </c>
      <c r="I113" s="2">
        <f t="shared" si="0"/>
        <v>217.78750182511649</v>
      </c>
      <c r="J113" s="1" t="str">
        <f t="shared" si="1"/>
        <v>Medium</v>
      </c>
    </row>
    <row r="114" spans="1:10" x14ac:dyDescent="0.2">
      <c r="A114" s="1" t="s">
        <v>115</v>
      </c>
      <c r="B114" s="1">
        <v>736500</v>
      </c>
      <c r="C114" s="1">
        <v>1019273</v>
      </c>
      <c r="D114" s="1">
        <v>1406521</v>
      </c>
      <c r="E114" s="1">
        <v>1809696</v>
      </c>
      <c r="F114" s="1">
        <v>2003913</v>
      </c>
      <c r="G114" s="1">
        <v>1996251</v>
      </c>
      <c r="H114" s="1">
        <v>2235727</v>
      </c>
      <c r="I114" s="2">
        <f t="shared" si="0"/>
        <v>203.56103190767141</v>
      </c>
      <c r="J114" s="1" t="str">
        <f t="shared" si="1"/>
        <v>Medium</v>
      </c>
    </row>
    <row r="115" spans="1:10" x14ac:dyDescent="0.2">
      <c r="A115" s="1" t="s">
        <v>110</v>
      </c>
      <c r="B115" s="1">
        <v>1139522</v>
      </c>
      <c r="C115" s="1">
        <v>1466676</v>
      </c>
      <c r="D115" s="1">
        <v>1929253</v>
      </c>
      <c r="E115" s="1">
        <v>2223667</v>
      </c>
      <c r="F115" s="1">
        <v>2928117</v>
      </c>
      <c r="G115" s="1">
        <v>4058890</v>
      </c>
      <c r="H115" s="1">
        <v>5149463</v>
      </c>
      <c r="I115" s="2">
        <f t="shared" si="0"/>
        <v>351.8967602205135</v>
      </c>
      <c r="J115" s="1" t="str">
        <f t="shared" si="1"/>
        <v>Medium</v>
      </c>
    </row>
    <row r="116" spans="1:10" x14ac:dyDescent="0.2">
      <c r="A116" s="1" t="s">
        <v>111</v>
      </c>
      <c r="B116" s="1">
        <v>1492890</v>
      </c>
      <c r="C116" s="1">
        <v>2082589</v>
      </c>
      <c r="D116" s="1">
        <v>3424378</v>
      </c>
      <c r="E116" s="1">
        <v>4445239</v>
      </c>
      <c r="F116" s="1">
        <v>5305021</v>
      </c>
      <c r="G116" s="1">
        <v>6497839</v>
      </c>
      <c r="H116" s="1">
        <v>7045399</v>
      </c>
      <c r="I116" s="2">
        <f t="shared" si="0"/>
        <v>371.93021588998516</v>
      </c>
      <c r="J116" s="1" t="str">
        <f t="shared" si="1"/>
        <v>Medium</v>
      </c>
    </row>
    <row r="117" spans="1:10" x14ac:dyDescent="0.2">
      <c r="A117" s="1" t="s">
        <v>113</v>
      </c>
      <c r="B117" s="1">
        <v>16451</v>
      </c>
      <c r="C117" s="1">
        <v>21140</v>
      </c>
      <c r="D117" s="1">
        <v>25512</v>
      </c>
      <c r="E117" s="1">
        <v>28742</v>
      </c>
      <c r="F117" s="1">
        <v>32645</v>
      </c>
      <c r="G117" s="1">
        <v>36022</v>
      </c>
      <c r="H117" s="1">
        <v>38901</v>
      </c>
      <c r="I117" s="2">
        <f t="shared" si="0"/>
        <v>136.46586833627134</v>
      </c>
      <c r="J117" s="1" t="str">
        <f t="shared" si="1"/>
        <v>Small</v>
      </c>
    </row>
    <row r="118" spans="1:10" x14ac:dyDescent="0.2">
      <c r="A118" s="1" t="s">
        <v>116</v>
      </c>
      <c r="B118" s="1">
        <v>2778550</v>
      </c>
      <c r="C118" s="1">
        <v>3139689</v>
      </c>
      <c r="D118" s="1">
        <v>3413202</v>
      </c>
      <c r="E118" s="1">
        <v>3697838</v>
      </c>
      <c r="F118" s="1">
        <v>3499536</v>
      </c>
      <c r="G118" s="1">
        <v>3097282</v>
      </c>
      <c r="H118" s="1">
        <v>2810369</v>
      </c>
      <c r="I118" s="2">
        <f t="shared" si="0"/>
        <v>1.1451656439509816</v>
      </c>
      <c r="J118" s="1" t="str">
        <f t="shared" si="1"/>
        <v>Medium</v>
      </c>
    </row>
    <row r="119" spans="1:10" x14ac:dyDescent="0.2">
      <c r="A119" s="1" t="s">
        <v>117</v>
      </c>
      <c r="B119" s="1">
        <v>313970</v>
      </c>
      <c r="C119" s="1">
        <v>339171</v>
      </c>
      <c r="D119" s="1">
        <v>364150</v>
      </c>
      <c r="E119" s="1">
        <v>381850</v>
      </c>
      <c r="F119" s="1">
        <v>436300</v>
      </c>
      <c r="G119" s="1">
        <v>506953</v>
      </c>
      <c r="H119" s="1">
        <v>630419</v>
      </c>
      <c r="I119" s="2">
        <f t="shared" si="0"/>
        <v>100.78956588209064</v>
      </c>
      <c r="J119" s="1" t="str">
        <f t="shared" si="1"/>
        <v>Small</v>
      </c>
    </row>
    <row r="120" spans="1:10" x14ac:dyDescent="0.2">
      <c r="A120" s="1" t="s">
        <v>119</v>
      </c>
      <c r="B120" s="1">
        <v>173315</v>
      </c>
      <c r="C120" s="1">
        <v>257396</v>
      </c>
      <c r="D120" s="1">
        <v>239650</v>
      </c>
      <c r="E120" s="1">
        <v>334950</v>
      </c>
      <c r="F120" s="1">
        <v>430600</v>
      </c>
      <c r="G120" s="1">
        <v>537000</v>
      </c>
      <c r="H120" s="1">
        <v>685400</v>
      </c>
      <c r="I120" s="2">
        <f t="shared" si="0"/>
        <v>295.46490494186884</v>
      </c>
      <c r="J120" s="1" t="str">
        <f t="shared" si="1"/>
        <v>Small</v>
      </c>
    </row>
    <row r="121" spans="1:10" x14ac:dyDescent="0.2">
      <c r="A121" s="1" t="s">
        <v>124</v>
      </c>
      <c r="B121" s="1">
        <v>5111029</v>
      </c>
      <c r="C121" s="1">
        <v>6672003</v>
      </c>
      <c r="D121" s="1">
        <v>9006032</v>
      </c>
      <c r="E121" s="1">
        <v>12055639</v>
      </c>
      <c r="F121" s="1">
        <v>16516338</v>
      </c>
      <c r="G121" s="1">
        <v>22183340</v>
      </c>
      <c r="H121" s="1">
        <v>28953556</v>
      </c>
      <c r="I121" s="2">
        <f t="shared" si="0"/>
        <v>466.49171820390762</v>
      </c>
      <c r="J121" s="1" t="str">
        <f t="shared" si="1"/>
        <v>Large</v>
      </c>
    </row>
    <row r="122" spans="1:10" x14ac:dyDescent="0.2">
      <c r="A122" s="1" t="s">
        <v>138</v>
      </c>
      <c r="B122" s="1">
        <v>3628134</v>
      </c>
      <c r="C122" s="1">
        <v>4633944</v>
      </c>
      <c r="D122" s="1">
        <v>6265529</v>
      </c>
      <c r="E122" s="1">
        <v>9545852</v>
      </c>
      <c r="F122" s="1">
        <v>11315942</v>
      </c>
      <c r="G122" s="1">
        <v>14826463</v>
      </c>
      <c r="H122" s="1">
        <v>19533888</v>
      </c>
      <c r="I122" s="2">
        <f t="shared" si="0"/>
        <v>438.40040086722263</v>
      </c>
      <c r="J122" s="1" t="str">
        <f t="shared" si="1"/>
        <v>Large</v>
      </c>
    </row>
    <row r="123" spans="1:10" x14ac:dyDescent="0.2">
      <c r="A123" s="1" t="s">
        <v>139</v>
      </c>
      <c r="B123" s="1">
        <v>7956197</v>
      </c>
      <c r="C123" s="1">
        <v>10178802</v>
      </c>
      <c r="D123" s="1">
        <v>12983363</v>
      </c>
      <c r="E123" s="1">
        <v>17833171</v>
      </c>
      <c r="F123" s="1">
        <v>22967816</v>
      </c>
      <c r="G123" s="1">
        <v>28655776</v>
      </c>
      <c r="H123" s="1">
        <v>33889558</v>
      </c>
      <c r="I123" s="2">
        <f t="shared" si="0"/>
        <v>325.95172040109111</v>
      </c>
      <c r="J123" s="1" t="str">
        <f t="shared" si="1"/>
        <v>Large</v>
      </c>
    </row>
    <row r="124" spans="1:10" x14ac:dyDescent="0.2">
      <c r="A124" s="1" t="s">
        <v>125</v>
      </c>
      <c r="B124" s="1">
        <v>91189</v>
      </c>
      <c r="C124" s="1">
        <v>123219</v>
      </c>
      <c r="D124" s="1">
        <v>164835</v>
      </c>
      <c r="E124" s="1">
        <v>224762</v>
      </c>
      <c r="F124" s="1">
        <v>282019</v>
      </c>
      <c r="G124" s="1">
        <v>360792</v>
      </c>
      <c r="H124" s="1">
        <v>502118</v>
      </c>
      <c r="I124" s="2">
        <f t="shared" si="0"/>
        <v>450.63439669258355</v>
      </c>
      <c r="J124" s="1" t="str">
        <f t="shared" si="1"/>
        <v>Small</v>
      </c>
    </row>
    <row r="125" spans="1:10" x14ac:dyDescent="0.2">
      <c r="A125" s="1" t="s">
        <v>129</v>
      </c>
      <c r="B125" s="1">
        <v>5402550</v>
      </c>
      <c r="C125" s="1">
        <v>6276472</v>
      </c>
      <c r="D125" s="1">
        <v>7530515</v>
      </c>
      <c r="E125" s="1">
        <v>9178830</v>
      </c>
      <c r="F125" s="1">
        <v>11559290</v>
      </c>
      <c r="G125" s="1">
        <v>15945198</v>
      </c>
      <c r="H125" s="1">
        <v>21713836</v>
      </c>
      <c r="I125" s="2">
        <f t="shared" si="0"/>
        <v>301.91827933105662</v>
      </c>
      <c r="J125" s="1" t="str">
        <f t="shared" si="1"/>
        <v>Large</v>
      </c>
    </row>
    <row r="126" spans="1:10" x14ac:dyDescent="0.2">
      <c r="A126" s="1" t="s">
        <v>130</v>
      </c>
      <c r="B126" s="1">
        <v>326550</v>
      </c>
      <c r="C126" s="1">
        <v>302650</v>
      </c>
      <c r="D126" s="1">
        <v>316645</v>
      </c>
      <c r="E126" s="1">
        <v>354170</v>
      </c>
      <c r="F126" s="1">
        <v>390087</v>
      </c>
      <c r="G126" s="1">
        <v>414508</v>
      </c>
      <c r="H126" s="1">
        <v>515490</v>
      </c>
      <c r="I126" s="2">
        <f t="shared" si="0"/>
        <v>57.859439595773999</v>
      </c>
      <c r="J126" s="1" t="str">
        <f t="shared" si="1"/>
        <v>Small</v>
      </c>
    </row>
    <row r="127" spans="1:10" x14ac:dyDescent="0.2">
      <c r="A127" s="1" t="s">
        <v>127</v>
      </c>
      <c r="B127" s="1">
        <v>14703</v>
      </c>
      <c r="C127" s="1">
        <v>22530</v>
      </c>
      <c r="D127" s="1">
        <v>30774</v>
      </c>
      <c r="E127" s="1">
        <v>44629</v>
      </c>
      <c r="F127" s="1">
        <v>50706</v>
      </c>
      <c r="G127" s="1">
        <v>52044</v>
      </c>
      <c r="H127" s="1">
        <v>42706</v>
      </c>
      <c r="I127" s="2">
        <f t="shared" si="0"/>
        <v>190.45772971502416</v>
      </c>
      <c r="J127" s="1" t="str">
        <f t="shared" si="1"/>
        <v>Small</v>
      </c>
    </row>
    <row r="128" spans="1:10" x14ac:dyDescent="0.2">
      <c r="A128" s="1" t="s">
        <v>136</v>
      </c>
      <c r="B128" s="1">
        <v>824298</v>
      </c>
      <c r="C128" s="1">
        <v>1099806</v>
      </c>
      <c r="D128" s="1">
        <v>1474043</v>
      </c>
      <c r="E128" s="1">
        <v>1951878</v>
      </c>
      <c r="F128" s="1">
        <v>2613441</v>
      </c>
      <c r="G128" s="1">
        <v>3390965</v>
      </c>
      <c r="H128" s="1">
        <v>4600131</v>
      </c>
      <c r="I128" s="2">
        <f t="shared" si="0"/>
        <v>458.06650022200711</v>
      </c>
      <c r="J128" s="1" t="str">
        <f t="shared" si="1"/>
        <v>Medium</v>
      </c>
    </row>
    <row r="129" spans="1:10" x14ac:dyDescent="0.2">
      <c r="A129" s="1" t="s">
        <v>137</v>
      </c>
      <c r="B129" s="1">
        <v>680331</v>
      </c>
      <c r="C129" s="1">
        <v>826000</v>
      </c>
      <c r="D129" s="1">
        <v>966039</v>
      </c>
      <c r="E129" s="1">
        <v>1058775</v>
      </c>
      <c r="F129" s="1">
        <v>1186873</v>
      </c>
      <c r="G129" s="1">
        <v>1250400</v>
      </c>
      <c r="H129" s="1">
        <v>1266014</v>
      </c>
      <c r="I129" s="2">
        <f t="shared" si="0"/>
        <v>86.087948366309931</v>
      </c>
      <c r="J129" s="1" t="str">
        <f t="shared" si="1"/>
        <v>Medium</v>
      </c>
    </row>
    <row r="130" spans="1:10" x14ac:dyDescent="0.2">
      <c r="A130" s="1" t="s">
        <v>126</v>
      </c>
      <c r="B130" s="1">
        <v>36724615</v>
      </c>
      <c r="C130" s="1">
        <v>50814953</v>
      </c>
      <c r="D130" s="1">
        <v>67300334</v>
      </c>
      <c r="E130" s="1">
        <v>82820170</v>
      </c>
      <c r="F130" s="1">
        <v>98625552</v>
      </c>
      <c r="G130" s="1">
        <v>113623895</v>
      </c>
      <c r="H130" s="1">
        <v>126799054</v>
      </c>
      <c r="I130" s="2">
        <f t="shared" si="0"/>
        <v>245.26993407555122</v>
      </c>
      <c r="J130" s="1" t="str">
        <f t="shared" si="1"/>
        <v>Large</v>
      </c>
    </row>
    <row r="131" spans="1:10" x14ac:dyDescent="0.2">
      <c r="A131" s="1" t="s">
        <v>68</v>
      </c>
      <c r="B131" s="1">
        <v>43061</v>
      </c>
      <c r="C131" s="1">
        <v>58922</v>
      </c>
      <c r="D131" s="1">
        <v>77407</v>
      </c>
      <c r="E131" s="1">
        <v>100888</v>
      </c>
      <c r="F131" s="1">
        <v>112044</v>
      </c>
      <c r="G131" s="1">
        <v>107540</v>
      </c>
      <c r="H131" s="1">
        <v>110916</v>
      </c>
      <c r="I131" s="2">
        <f t="shared" si="0"/>
        <v>157.57878358607559</v>
      </c>
      <c r="J131" s="1" t="str">
        <f t="shared" si="1"/>
        <v>Small</v>
      </c>
    </row>
    <row r="132" spans="1:10" x14ac:dyDescent="0.2">
      <c r="A132" s="1" t="s">
        <v>123</v>
      </c>
      <c r="B132" s="1">
        <v>2058020</v>
      </c>
      <c r="C132" s="1">
        <v>2437590</v>
      </c>
      <c r="D132" s="1">
        <v>2708675</v>
      </c>
      <c r="E132" s="1">
        <v>2977912</v>
      </c>
      <c r="F132" s="1">
        <v>2924668</v>
      </c>
      <c r="G132" s="1">
        <v>2862354</v>
      </c>
      <c r="H132" s="1">
        <v>2635130</v>
      </c>
      <c r="I132" s="2">
        <f t="shared" si="0"/>
        <v>28.042001535456411</v>
      </c>
      <c r="J132" s="1" t="str">
        <f t="shared" si="1"/>
        <v>Medium</v>
      </c>
    </row>
    <row r="133" spans="1:10" x14ac:dyDescent="0.2">
      <c r="A133" s="1" t="s">
        <v>122</v>
      </c>
      <c r="B133" s="1">
        <v>21808</v>
      </c>
      <c r="C133" s="1">
        <v>24229</v>
      </c>
      <c r="D133" s="1">
        <v>27122</v>
      </c>
      <c r="E133" s="1">
        <v>30358</v>
      </c>
      <c r="F133" s="1">
        <v>32455</v>
      </c>
      <c r="G133" s="1">
        <v>33163</v>
      </c>
      <c r="H133" s="1">
        <v>38050</v>
      </c>
      <c r="I133" s="2">
        <f t="shared" si="0"/>
        <v>74.477256052824643</v>
      </c>
      <c r="J133" s="1" t="str">
        <f t="shared" si="1"/>
        <v>Small</v>
      </c>
    </row>
    <row r="134" spans="1:10" x14ac:dyDescent="0.2">
      <c r="A134" s="1" t="s">
        <v>133</v>
      </c>
      <c r="B134" s="1">
        <v>977595</v>
      </c>
      <c r="C134" s="1">
        <v>1295272</v>
      </c>
      <c r="D134" s="1">
        <v>1701335</v>
      </c>
      <c r="E134" s="1">
        <v>2098710</v>
      </c>
      <c r="F134" s="1">
        <v>2388299</v>
      </c>
      <c r="G134" s="1">
        <v>2738622</v>
      </c>
      <c r="H134" s="1">
        <v>3327204</v>
      </c>
      <c r="I134" s="2">
        <f t="shared" si="0"/>
        <v>240.34584874104308</v>
      </c>
      <c r="J134" s="1" t="str">
        <f t="shared" si="1"/>
        <v>Medium</v>
      </c>
    </row>
    <row r="135" spans="1:10" x14ac:dyDescent="0.2">
      <c r="A135" s="1" t="s">
        <v>132</v>
      </c>
      <c r="B135" s="1">
        <v>480579</v>
      </c>
      <c r="C135" s="1">
        <v>512407</v>
      </c>
      <c r="D135" s="1">
        <v>572608</v>
      </c>
      <c r="E135" s="1">
        <v>606372</v>
      </c>
      <c r="F135" s="1">
        <v>604950</v>
      </c>
      <c r="G135" s="1">
        <v>619428</v>
      </c>
      <c r="H135" s="1">
        <v>626590</v>
      </c>
      <c r="I135" s="2">
        <f t="shared" si="0"/>
        <v>30.382309672291129</v>
      </c>
      <c r="J135" s="1" t="str">
        <f t="shared" si="1"/>
        <v>Small</v>
      </c>
    </row>
    <row r="136" spans="1:10" x14ac:dyDescent="0.2">
      <c r="A136" s="1" t="s">
        <v>121</v>
      </c>
      <c r="B136" s="1">
        <v>11624933</v>
      </c>
      <c r="C136" s="1">
        <v>15129449</v>
      </c>
      <c r="D136" s="1">
        <v>19459943</v>
      </c>
      <c r="E136" s="1">
        <v>24375551</v>
      </c>
      <c r="F136" s="1">
        <v>28423435</v>
      </c>
      <c r="G136" s="1">
        <v>32467016</v>
      </c>
      <c r="H136" s="1">
        <v>36584208</v>
      </c>
      <c r="I136" s="2">
        <f t="shared" si="0"/>
        <v>214.70467829793085</v>
      </c>
      <c r="J136" s="1" t="str">
        <f t="shared" si="1"/>
        <v>Large</v>
      </c>
    </row>
    <row r="137" spans="1:10" x14ac:dyDescent="0.2">
      <c r="A137" s="1" t="s">
        <v>135</v>
      </c>
      <c r="B137" s="1">
        <v>6713695</v>
      </c>
      <c r="C137" s="1">
        <v>8250506</v>
      </c>
      <c r="D137" s="1">
        <v>11336221</v>
      </c>
      <c r="E137" s="1">
        <v>13094537</v>
      </c>
      <c r="F137" s="1">
        <v>18129653</v>
      </c>
      <c r="G137" s="1">
        <v>22999235</v>
      </c>
      <c r="H137" s="1">
        <v>30783688</v>
      </c>
      <c r="I137" s="2">
        <f t="shared" si="0"/>
        <v>358.52079964907551</v>
      </c>
      <c r="J137" s="1" t="str">
        <f t="shared" si="1"/>
        <v>Large</v>
      </c>
    </row>
    <row r="138" spans="1:10" x14ac:dyDescent="0.2">
      <c r="A138" s="1" t="s">
        <v>131</v>
      </c>
      <c r="B138" s="1">
        <v>21730250</v>
      </c>
      <c r="C138" s="1">
        <v>27193016</v>
      </c>
      <c r="D138" s="1">
        <v>33227204</v>
      </c>
      <c r="E138" s="1">
        <v>39817251</v>
      </c>
      <c r="F138" s="1">
        <v>45290841</v>
      </c>
      <c r="G138" s="1">
        <v>49024382</v>
      </c>
      <c r="H138" s="1">
        <v>53016522</v>
      </c>
      <c r="I138" s="2">
        <f t="shared" si="0"/>
        <v>143.97566525925839</v>
      </c>
      <c r="J138" s="1" t="str">
        <f t="shared" si="1"/>
        <v>Large</v>
      </c>
    </row>
    <row r="139" spans="1:10" x14ac:dyDescent="0.2">
      <c r="A139" s="1" t="s">
        <v>140</v>
      </c>
      <c r="B139" s="1">
        <v>591465</v>
      </c>
      <c r="C139" s="1">
        <v>757868</v>
      </c>
      <c r="D139" s="1">
        <v>981434</v>
      </c>
      <c r="E139" s="1">
        <v>1369303</v>
      </c>
      <c r="F139" s="1">
        <v>1818647</v>
      </c>
      <c r="G139" s="1">
        <v>2109811</v>
      </c>
      <c r="H139" s="1">
        <v>2728762</v>
      </c>
      <c r="I139" s="2">
        <f t="shared" si="0"/>
        <v>361.35646234350298</v>
      </c>
      <c r="J139" s="1" t="str">
        <f t="shared" si="1"/>
        <v>Medium</v>
      </c>
    </row>
    <row r="140" spans="1:10" x14ac:dyDescent="0.2">
      <c r="A140" s="1" t="s">
        <v>148</v>
      </c>
      <c r="B140" s="1">
        <v>4607</v>
      </c>
      <c r="C140" s="1">
        <v>6710</v>
      </c>
      <c r="D140" s="1">
        <v>7649</v>
      </c>
      <c r="E140" s="1">
        <v>9622</v>
      </c>
      <c r="F140" s="1">
        <v>10168</v>
      </c>
      <c r="G140" s="1">
        <v>10043</v>
      </c>
      <c r="H140" s="1">
        <v>11643</v>
      </c>
      <c r="I140" s="2">
        <f t="shared" si="0"/>
        <v>152.72411547644887</v>
      </c>
      <c r="J140" s="1" t="str">
        <f t="shared" si="1"/>
        <v>Small</v>
      </c>
    </row>
    <row r="141" spans="1:10" x14ac:dyDescent="0.2">
      <c r="A141" s="1" t="s">
        <v>147</v>
      </c>
      <c r="B141" s="1">
        <v>10123658</v>
      </c>
      <c r="C141" s="1">
        <v>12436190</v>
      </c>
      <c r="D141" s="1">
        <v>15553105</v>
      </c>
      <c r="E141" s="1">
        <v>19524573</v>
      </c>
      <c r="F141" s="1">
        <v>24546509</v>
      </c>
      <c r="G141" s="1">
        <v>27341952</v>
      </c>
      <c r="H141" s="1">
        <v>28966574</v>
      </c>
      <c r="I141" s="2">
        <f t="shared" si="0"/>
        <v>186.12754401620441</v>
      </c>
      <c r="J141" s="1" t="str">
        <f t="shared" si="1"/>
        <v>Large</v>
      </c>
    </row>
    <row r="142" spans="1:10" x14ac:dyDescent="0.2">
      <c r="A142" s="1" t="s">
        <v>145</v>
      </c>
      <c r="B142" s="1">
        <v>11486631</v>
      </c>
      <c r="C142" s="1">
        <v>13038526</v>
      </c>
      <c r="D142" s="1">
        <v>14149800</v>
      </c>
      <c r="E142" s="1">
        <v>14951510</v>
      </c>
      <c r="F142" s="1">
        <v>15925513</v>
      </c>
      <c r="G142" s="1">
        <v>16615394</v>
      </c>
      <c r="H142" s="1">
        <v>17441500</v>
      </c>
      <c r="I142" s="2">
        <f t="shared" si="0"/>
        <v>51.841736711138367</v>
      </c>
      <c r="J142" s="1" t="str">
        <f t="shared" si="1"/>
        <v>Large</v>
      </c>
    </row>
    <row r="143" spans="1:10" x14ac:dyDescent="0.2">
      <c r="A143" s="1" t="s">
        <v>141</v>
      </c>
      <c r="B143" s="1">
        <v>79819</v>
      </c>
      <c r="C143" s="1">
        <v>109338</v>
      </c>
      <c r="D143" s="1">
        <v>149817</v>
      </c>
      <c r="E143" s="1">
        <v>176456</v>
      </c>
      <c r="F143" s="1">
        <v>223098</v>
      </c>
      <c r="G143" s="1">
        <v>261582</v>
      </c>
      <c r="H143" s="1">
        <v>284176</v>
      </c>
      <c r="I143" s="2">
        <f t="shared" si="0"/>
        <v>256.02550771119661</v>
      </c>
      <c r="J143" s="1" t="str">
        <f t="shared" si="1"/>
        <v>Small</v>
      </c>
    </row>
    <row r="144" spans="1:10" x14ac:dyDescent="0.2">
      <c r="A144" s="1" t="s">
        <v>149</v>
      </c>
      <c r="B144" s="1">
        <v>2371800</v>
      </c>
      <c r="C144" s="1">
        <v>2810700</v>
      </c>
      <c r="D144" s="1">
        <v>3112900</v>
      </c>
      <c r="E144" s="1">
        <v>3329800</v>
      </c>
      <c r="F144" s="1">
        <v>3857700</v>
      </c>
      <c r="G144" s="1">
        <v>4350700</v>
      </c>
      <c r="H144" s="1">
        <v>5072400</v>
      </c>
      <c r="I144" s="2">
        <f t="shared" si="0"/>
        <v>113.86288894510498</v>
      </c>
      <c r="J144" s="1" t="str">
        <f t="shared" si="1"/>
        <v>Medium</v>
      </c>
    </row>
    <row r="145" spans="1:10" x14ac:dyDescent="0.2">
      <c r="A145" s="1" t="s">
        <v>144</v>
      </c>
      <c r="B145" s="1">
        <v>1782370</v>
      </c>
      <c r="C145" s="1">
        <v>2423065</v>
      </c>
      <c r="D145" s="1">
        <v>3252403</v>
      </c>
      <c r="E145" s="1">
        <v>4162559</v>
      </c>
      <c r="F145" s="1">
        <v>5022633</v>
      </c>
      <c r="G145" s="1">
        <v>5737450</v>
      </c>
      <c r="H145" s="1">
        <v>6565267</v>
      </c>
      <c r="I145" s="2">
        <f t="shared" si="0"/>
        <v>268.34478811918962</v>
      </c>
      <c r="J145" s="1" t="str">
        <f t="shared" si="1"/>
        <v>Medium</v>
      </c>
    </row>
    <row r="146" spans="1:10" x14ac:dyDescent="0.2">
      <c r="A146" s="1" t="s">
        <v>142</v>
      </c>
      <c r="B146" s="1">
        <v>3505050</v>
      </c>
      <c r="C146" s="1">
        <v>4650275</v>
      </c>
      <c r="D146" s="1">
        <v>6135971</v>
      </c>
      <c r="E146" s="1">
        <v>8286059</v>
      </c>
      <c r="F146" s="1">
        <v>11509630</v>
      </c>
      <c r="G146" s="1">
        <v>16548835</v>
      </c>
      <c r="H146" s="1">
        <v>23717613</v>
      </c>
      <c r="I146" s="2">
        <f t="shared" si="0"/>
        <v>576.66974793512213</v>
      </c>
      <c r="J146" s="1" t="str">
        <f t="shared" si="1"/>
        <v>Large</v>
      </c>
    </row>
    <row r="147" spans="1:10" x14ac:dyDescent="0.2">
      <c r="A147" s="1" t="s">
        <v>143</v>
      </c>
      <c r="B147" s="1">
        <v>45053782</v>
      </c>
      <c r="C147" s="1">
        <v>55893838</v>
      </c>
      <c r="D147" s="1">
        <v>73764641</v>
      </c>
      <c r="E147" s="1">
        <v>97120925</v>
      </c>
      <c r="F147" s="1">
        <v>126382494</v>
      </c>
      <c r="G147" s="1">
        <v>166642886</v>
      </c>
      <c r="H147" s="1">
        <v>213996181</v>
      </c>
      <c r="I147" s="2">
        <f t="shared" si="0"/>
        <v>374.97939462662646</v>
      </c>
      <c r="J147" s="1" t="str">
        <f t="shared" si="1"/>
        <v>Large</v>
      </c>
    </row>
    <row r="148" spans="1:10" x14ac:dyDescent="0.2">
      <c r="A148" s="1" t="s">
        <v>128</v>
      </c>
      <c r="B148" s="1">
        <v>1435059</v>
      </c>
      <c r="C148" s="1">
        <v>1664208</v>
      </c>
      <c r="D148" s="1">
        <v>1933038</v>
      </c>
      <c r="E148" s="1">
        <v>2063689</v>
      </c>
      <c r="F148" s="1">
        <v>2026350</v>
      </c>
      <c r="G148" s="1">
        <v>1946298</v>
      </c>
      <c r="H148" s="1">
        <v>1856124</v>
      </c>
      <c r="I148" s="2">
        <f t="shared" si="0"/>
        <v>29.341302343666708</v>
      </c>
      <c r="J148" s="1" t="str">
        <f t="shared" si="1"/>
        <v>Medium</v>
      </c>
    </row>
    <row r="149" spans="1:10" x14ac:dyDescent="0.2">
      <c r="A149" s="1" t="s">
        <v>134</v>
      </c>
      <c r="B149" s="1">
        <v>8736</v>
      </c>
      <c r="C149" s="1">
        <v>10170</v>
      </c>
      <c r="D149" s="1">
        <v>17625</v>
      </c>
      <c r="E149" s="1">
        <v>43342</v>
      </c>
      <c r="F149" s="1">
        <v>68356</v>
      </c>
      <c r="G149" s="1">
        <v>54091</v>
      </c>
      <c r="H149" s="1">
        <v>47528</v>
      </c>
      <c r="I149" s="2">
        <f t="shared" si="0"/>
        <v>444.04761904761909</v>
      </c>
      <c r="J149" s="1" t="str">
        <f t="shared" si="1"/>
        <v>Small</v>
      </c>
    </row>
    <row r="150" spans="1:10" x14ac:dyDescent="0.2">
      <c r="A150" s="1" t="s">
        <v>146</v>
      </c>
      <c r="B150" s="1">
        <v>3581239</v>
      </c>
      <c r="C150" s="1">
        <v>3875763</v>
      </c>
      <c r="D150" s="1">
        <v>4085620</v>
      </c>
      <c r="E150" s="1">
        <v>4241473</v>
      </c>
      <c r="F150" s="1">
        <v>4490967</v>
      </c>
      <c r="G150" s="1">
        <v>4889252</v>
      </c>
      <c r="H150" s="1">
        <v>5379475</v>
      </c>
      <c r="I150" s="2">
        <f t="shared" si="0"/>
        <v>50.212677791122005</v>
      </c>
      <c r="J150" s="1" t="str">
        <f t="shared" si="1"/>
        <v>Medium</v>
      </c>
    </row>
    <row r="151" spans="1:10" x14ac:dyDescent="0.2">
      <c r="A151" s="1" t="s">
        <v>150</v>
      </c>
      <c r="B151" s="1">
        <v>530485</v>
      </c>
      <c r="C151" s="1">
        <v>662680</v>
      </c>
      <c r="D151" s="1">
        <v>1001248</v>
      </c>
      <c r="E151" s="1">
        <v>1763954</v>
      </c>
      <c r="F151" s="1">
        <v>2282131</v>
      </c>
      <c r="G151" s="1">
        <v>2757446</v>
      </c>
      <c r="H151" s="1">
        <v>4522497</v>
      </c>
      <c r="I151" s="2">
        <f t="shared" si="0"/>
        <v>752.52118344533767</v>
      </c>
      <c r="J151" s="1" t="str">
        <f t="shared" si="1"/>
        <v>Medium</v>
      </c>
    </row>
    <row r="152" spans="1:10" x14ac:dyDescent="0.2">
      <c r="A152" s="1" t="s">
        <v>151</v>
      </c>
      <c r="B152" s="1">
        <v>45709310</v>
      </c>
      <c r="C152" s="1">
        <v>60166719</v>
      </c>
      <c r="D152" s="1">
        <v>82291010</v>
      </c>
      <c r="E152" s="1">
        <v>116155576</v>
      </c>
      <c r="F152" s="1">
        <v>154879127</v>
      </c>
      <c r="G152" s="1">
        <v>199239047</v>
      </c>
      <c r="H152" s="1">
        <v>235001746</v>
      </c>
      <c r="I152" s="2">
        <f t="shared" si="0"/>
        <v>414.12227837173657</v>
      </c>
      <c r="J152" s="1" t="str">
        <f t="shared" si="1"/>
        <v>Large</v>
      </c>
    </row>
    <row r="153" spans="1:10" x14ac:dyDescent="0.2">
      <c r="A153" s="1" t="s">
        <v>155</v>
      </c>
      <c r="B153" s="1">
        <v>9328</v>
      </c>
      <c r="C153" s="1">
        <v>11368</v>
      </c>
      <c r="D153" s="1">
        <v>12271</v>
      </c>
      <c r="E153" s="1">
        <v>15259</v>
      </c>
      <c r="F153" s="1">
        <v>19178</v>
      </c>
      <c r="G153" s="1">
        <v>18396</v>
      </c>
      <c r="H153" s="1">
        <v>17792</v>
      </c>
      <c r="I153" s="2">
        <f t="shared" si="0"/>
        <v>90.737564322469993</v>
      </c>
      <c r="J153" s="1" t="str">
        <f t="shared" si="1"/>
        <v>Small</v>
      </c>
    </row>
    <row r="154" spans="1:10" x14ac:dyDescent="0.2">
      <c r="A154" s="1" t="s">
        <v>152</v>
      </c>
      <c r="B154" s="1">
        <v>1126005</v>
      </c>
      <c r="C154" s="1">
        <v>1513070</v>
      </c>
      <c r="D154" s="1">
        <v>1957534</v>
      </c>
      <c r="E154" s="1">
        <v>2455583</v>
      </c>
      <c r="F154" s="1">
        <v>3010369</v>
      </c>
      <c r="G154" s="1">
        <v>3628535</v>
      </c>
      <c r="H154" s="1">
        <v>4293261</v>
      </c>
      <c r="I154" s="2">
        <f t="shared" si="0"/>
        <v>281.28258755511746</v>
      </c>
      <c r="J154" s="1" t="str">
        <f t="shared" si="1"/>
        <v>Medium</v>
      </c>
    </row>
    <row r="155" spans="1:10" x14ac:dyDescent="0.2">
      <c r="A155" s="1" t="s">
        <v>156</v>
      </c>
      <c r="B155" s="1">
        <v>1995110</v>
      </c>
      <c r="C155" s="1">
        <v>2505628</v>
      </c>
      <c r="D155" s="1">
        <v>3131512</v>
      </c>
      <c r="E155" s="1">
        <v>3896481</v>
      </c>
      <c r="F155" s="1">
        <v>5537064</v>
      </c>
      <c r="G155" s="1">
        <v>7633523</v>
      </c>
      <c r="H155" s="1">
        <v>9815746</v>
      </c>
      <c r="I155" s="2">
        <f t="shared" si="0"/>
        <v>391.99021607831151</v>
      </c>
      <c r="J155" s="1" t="str">
        <f t="shared" si="1"/>
        <v>Medium</v>
      </c>
    </row>
    <row r="156" spans="1:10" x14ac:dyDescent="0.2">
      <c r="A156" s="1" t="s">
        <v>161</v>
      </c>
      <c r="B156" s="1">
        <v>1883514</v>
      </c>
      <c r="C156" s="1">
        <v>2388028</v>
      </c>
      <c r="D156" s="1">
        <v>3053235</v>
      </c>
      <c r="E156" s="1">
        <v>4035747</v>
      </c>
      <c r="F156" s="1">
        <v>5100868</v>
      </c>
      <c r="G156" s="1">
        <v>5737971</v>
      </c>
      <c r="H156" s="1">
        <v>6603739</v>
      </c>
      <c r="I156" s="2">
        <f t="shared" si="0"/>
        <v>250.60737536328372</v>
      </c>
      <c r="J156" s="1" t="str">
        <f t="shared" si="1"/>
        <v>Medium</v>
      </c>
    </row>
    <row r="157" spans="1:10" x14ac:dyDescent="0.2">
      <c r="A157" s="1" t="s">
        <v>153</v>
      </c>
      <c r="B157" s="1">
        <v>10174127</v>
      </c>
      <c r="C157" s="1">
        <v>13501237</v>
      </c>
      <c r="D157" s="1">
        <v>17360949</v>
      </c>
      <c r="E157" s="1">
        <v>22014771</v>
      </c>
      <c r="F157" s="1">
        <v>26598331</v>
      </c>
      <c r="G157" s="1">
        <v>29086019</v>
      </c>
      <c r="H157" s="1">
        <v>32838579</v>
      </c>
      <c r="I157" s="2">
        <f t="shared" si="0"/>
        <v>222.76556995995821</v>
      </c>
      <c r="J157" s="1" t="str">
        <f t="shared" si="1"/>
        <v>Large</v>
      </c>
    </row>
    <row r="158" spans="1:10" x14ac:dyDescent="0.2">
      <c r="A158" s="1" t="s">
        <v>154</v>
      </c>
      <c r="B158" s="1">
        <v>27891897</v>
      </c>
      <c r="C158" s="1">
        <v>37622204</v>
      </c>
      <c r="D158" s="1">
        <v>48043740</v>
      </c>
      <c r="E158" s="1">
        <v>62854666</v>
      </c>
      <c r="F158" s="1">
        <v>79625397</v>
      </c>
      <c r="G158" s="1">
        <v>96337125</v>
      </c>
      <c r="H158" s="1">
        <v>112081264</v>
      </c>
      <c r="I158" s="2">
        <f t="shared" si="0"/>
        <v>301.84166749217525</v>
      </c>
      <c r="J158" s="1" t="str">
        <f t="shared" si="1"/>
        <v>Large</v>
      </c>
    </row>
    <row r="159" spans="1:10" x14ac:dyDescent="0.2">
      <c r="A159" s="1" t="s">
        <v>157</v>
      </c>
      <c r="B159" s="1">
        <v>29637450</v>
      </c>
      <c r="C159" s="1">
        <v>32664300</v>
      </c>
      <c r="D159" s="1">
        <v>35574150</v>
      </c>
      <c r="E159" s="1">
        <v>38110782</v>
      </c>
      <c r="F159" s="1">
        <v>38258629</v>
      </c>
      <c r="G159" s="1">
        <v>38042794</v>
      </c>
      <c r="H159" s="1">
        <v>37515748</v>
      </c>
      <c r="I159" s="2">
        <f t="shared" si="0"/>
        <v>26.582239700109149</v>
      </c>
      <c r="J159" s="1" t="str">
        <f t="shared" si="1"/>
        <v>Large</v>
      </c>
    </row>
    <row r="160" spans="1:10" x14ac:dyDescent="0.2">
      <c r="A160" s="1" t="s">
        <v>160</v>
      </c>
      <c r="B160" s="1">
        <v>8857716</v>
      </c>
      <c r="C160" s="1">
        <v>8680431</v>
      </c>
      <c r="D160" s="1">
        <v>9766312</v>
      </c>
      <c r="E160" s="1">
        <v>9983218</v>
      </c>
      <c r="F160" s="1">
        <v>10289898</v>
      </c>
      <c r="G160" s="1">
        <v>10573100</v>
      </c>
      <c r="H160" s="1">
        <v>10297081</v>
      </c>
      <c r="I160" s="2">
        <f t="shared" si="0"/>
        <v>16.24984363915032</v>
      </c>
      <c r="J160" s="1" t="str">
        <f t="shared" si="1"/>
        <v>Large</v>
      </c>
    </row>
    <row r="161" spans="1:10" x14ac:dyDescent="0.2">
      <c r="A161" s="1" t="s">
        <v>158</v>
      </c>
      <c r="B161" s="1">
        <v>2358000</v>
      </c>
      <c r="C161" s="1">
        <v>2718000</v>
      </c>
      <c r="D161" s="1">
        <v>3206000</v>
      </c>
      <c r="E161" s="1">
        <v>3537000</v>
      </c>
      <c r="F161" s="1">
        <v>3810605</v>
      </c>
      <c r="G161" s="1">
        <v>3724465</v>
      </c>
      <c r="H161" s="1">
        <v>3281590</v>
      </c>
      <c r="I161" s="2">
        <f t="shared" si="0"/>
        <v>39.168363019508057</v>
      </c>
      <c r="J161" s="1" t="str">
        <f t="shared" si="1"/>
        <v>Medium</v>
      </c>
    </row>
    <row r="162" spans="1:10" x14ac:dyDescent="0.2">
      <c r="A162" s="1" t="s">
        <v>164</v>
      </c>
      <c r="B162" s="1">
        <v>36010</v>
      </c>
      <c r="C162" s="1">
        <v>116350</v>
      </c>
      <c r="D162" s="1">
        <v>275913</v>
      </c>
      <c r="E162" s="1">
        <v>440175</v>
      </c>
      <c r="F162" s="1">
        <v>644989</v>
      </c>
      <c r="G162" s="1">
        <v>1616832</v>
      </c>
      <c r="H162" s="1">
        <v>2794148</v>
      </c>
      <c r="I162" s="2">
        <f t="shared" si="0"/>
        <v>7659.3668425437372</v>
      </c>
      <c r="J162" s="1" t="str">
        <f t="shared" si="1"/>
        <v>Medium</v>
      </c>
    </row>
    <row r="163" spans="1:10" x14ac:dyDescent="0.2">
      <c r="A163" s="1" t="s">
        <v>165</v>
      </c>
      <c r="B163" s="1">
        <v>18406905</v>
      </c>
      <c r="C163" s="1">
        <v>20250398</v>
      </c>
      <c r="D163" s="1">
        <v>22207282</v>
      </c>
      <c r="E163" s="1">
        <v>23201835</v>
      </c>
      <c r="F163" s="1">
        <v>22442971</v>
      </c>
      <c r="G163" s="1">
        <v>20246871</v>
      </c>
      <c r="H163" s="1">
        <v>19265250</v>
      </c>
      <c r="I163" s="2">
        <f t="shared" si="0"/>
        <v>4.6631685228994222</v>
      </c>
      <c r="J163" s="1" t="str">
        <f t="shared" si="1"/>
        <v>Large</v>
      </c>
    </row>
    <row r="164" spans="1:10" x14ac:dyDescent="0.2">
      <c r="A164" s="1" t="s">
        <v>166</v>
      </c>
      <c r="B164" s="1">
        <v>119897000</v>
      </c>
      <c r="C164" s="1">
        <v>130404000</v>
      </c>
      <c r="D164" s="1">
        <v>139010000</v>
      </c>
      <c r="E164" s="1">
        <v>147969406</v>
      </c>
      <c r="F164" s="1">
        <v>146596869</v>
      </c>
      <c r="G164" s="1">
        <v>142849468</v>
      </c>
      <c r="H164" s="1">
        <v>145245148</v>
      </c>
      <c r="I164" s="2">
        <f t="shared" si="0"/>
        <v>21.141603209421419</v>
      </c>
      <c r="J164" s="1" t="str">
        <f t="shared" si="1"/>
        <v>Large</v>
      </c>
    </row>
    <row r="165" spans="1:10" x14ac:dyDescent="0.2">
      <c r="A165" s="1" t="s">
        <v>167</v>
      </c>
      <c r="B165" s="1">
        <v>3022294</v>
      </c>
      <c r="C165" s="1">
        <v>3980669</v>
      </c>
      <c r="D165" s="1">
        <v>5353259</v>
      </c>
      <c r="E165" s="1">
        <v>7375307</v>
      </c>
      <c r="F165" s="1">
        <v>8213931</v>
      </c>
      <c r="G165" s="1">
        <v>10317553</v>
      </c>
      <c r="H165" s="1">
        <v>13065837</v>
      </c>
      <c r="I165" s="2">
        <f t="shared" si="0"/>
        <v>332.31522148407799</v>
      </c>
      <c r="J165" s="1" t="str">
        <f t="shared" si="1"/>
        <v>Large</v>
      </c>
    </row>
    <row r="166" spans="1:10" x14ac:dyDescent="0.2">
      <c r="A166" s="1" t="s">
        <v>211</v>
      </c>
      <c r="B166" s="1">
        <v>112490</v>
      </c>
      <c r="C166" s="1">
        <v>140400</v>
      </c>
      <c r="D166" s="1">
        <v>164322</v>
      </c>
      <c r="E166" s="1">
        <v>169042</v>
      </c>
      <c r="F166" s="1">
        <v>181685</v>
      </c>
      <c r="G166" s="1">
        <v>193023</v>
      </c>
      <c r="H166" s="1">
        <v>211944</v>
      </c>
      <c r="I166" s="2">
        <f t="shared" si="0"/>
        <v>88.411414347942042</v>
      </c>
      <c r="J166" s="1" t="str">
        <f t="shared" si="1"/>
        <v>Small</v>
      </c>
    </row>
    <row r="167" spans="1:10" x14ac:dyDescent="0.2">
      <c r="A167" s="1" t="s">
        <v>174</v>
      </c>
      <c r="B167" s="1">
        <v>15428</v>
      </c>
      <c r="C167" s="1">
        <v>18168</v>
      </c>
      <c r="D167" s="1">
        <v>21585</v>
      </c>
      <c r="E167" s="1">
        <v>23475</v>
      </c>
      <c r="F167" s="1">
        <v>26799</v>
      </c>
      <c r="G167" s="1">
        <v>33270</v>
      </c>
      <c r="H167" s="1">
        <v>34770</v>
      </c>
      <c r="I167" s="2">
        <f t="shared" si="0"/>
        <v>125.36945812807883</v>
      </c>
      <c r="J167" s="1" t="str">
        <f t="shared" si="1"/>
        <v>Small</v>
      </c>
    </row>
    <row r="168" spans="1:10" x14ac:dyDescent="0.2">
      <c r="A168" s="1" t="s">
        <v>178</v>
      </c>
      <c r="B168" s="1">
        <v>68012</v>
      </c>
      <c r="C168" s="1">
        <v>77626</v>
      </c>
      <c r="D168" s="1">
        <v>98544</v>
      </c>
      <c r="E168" s="1">
        <v>122980</v>
      </c>
      <c r="F168" s="1">
        <v>144018</v>
      </c>
      <c r="G168" s="1">
        <v>181802</v>
      </c>
      <c r="H168" s="1">
        <v>217435</v>
      </c>
      <c r="I168" s="2">
        <f t="shared" si="0"/>
        <v>219.70093512909489</v>
      </c>
      <c r="J168" s="1" t="str">
        <f t="shared" si="1"/>
        <v>Small</v>
      </c>
    </row>
    <row r="169" spans="1:10" x14ac:dyDescent="0.2">
      <c r="A169" s="1" t="s">
        <v>169</v>
      </c>
      <c r="B169" s="1">
        <v>3340907</v>
      </c>
      <c r="C169" s="1">
        <v>4466328</v>
      </c>
      <c r="D169" s="1">
        <v>5845638</v>
      </c>
      <c r="E169" s="1">
        <v>7720523</v>
      </c>
      <c r="F169" s="1">
        <v>9968260</v>
      </c>
      <c r="G169" s="1">
        <v>12635413</v>
      </c>
      <c r="H169" s="1">
        <v>16789219</v>
      </c>
      <c r="I169" s="2">
        <f t="shared" si="0"/>
        <v>402.53476077005433</v>
      </c>
      <c r="J169" s="1" t="str">
        <f t="shared" si="1"/>
        <v>Large</v>
      </c>
    </row>
    <row r="170" spans="1:10" x14ac:dyDescent="0.2">
      <c r="A170" s="1" t="s">
        <v>176</v>
      </c>
      <c r="B170" s="1">
        <v>6638992</v>
      </c>
      <c r="C170" s="1">
        <v>7164993</v>
      </c>
      <c r="D170" s="1">
        <v>7709544</v>
      </c>
      <c r="E170" s="1">
        <v>7897937</v>
      </c>
      <c r="F170" s="1">
        <v>7516346</v>
      </c>
      <c r="G170" s="1">
        <v>7291436</v>
      </c>
      <c r="H170" s="1">
        <v>6899126</v>
      </c>
      <c r="I170" s="2">
        <f t="shared" si="0"/>
        <v>3.9182755454442484</v>
      </c>
      <c r="J170" s="1" t="str">
        <f t="shared" si="1"/>
        <v>Medium</v>
      </c>
    </row>
    <row r="171" spans="1:10" x14ac:dyDescent="0.2">
      <c r="A171" s="1" t="s">
        <v>185</v>
      </c>
      <c r="B171" s="1">
        <v>41700</v>
      </c>
      <c r="C171" s="1">
        <v>53600</v>
      </c>
      <c r="D171" s="1">
        <v>63261</v>
      </c>
      <c r="E171" s="1">
        <v>69507</v>
      </c>
      <c r="F171" s="1">
        <v>81131</v>
      </c>
      <c r="G171" s="1">
        <v>89770</v>
      </c>
      <c r="H171" s="1">
        <v>98462</v>
      </c>
      <c r="I171" s="2">
        <f t="shared" si="0"/>
        <v>136.11990407673861</v>
      </c>
      <c r="J171" s="1" t="str">
        <f t="shared" si="1"/>
        <v>Small</v>
      </c>
    </row>
    <row r="172" spans="1:10" x14ac:dyDescent="0.2">
      <c r="A172" s="1" t="s">
        <v>172</v>
      </c>
      <c r="B172" s="1">
        <v>2268356</v>
      </c>
      <c r="C172" s="1">
        <v>2712286</v>
      </c>
      <c r="D172" s="1">
        <v>3272089</v>
      </c>
      <c r="E172" s="1">
        <v>4196828</v>
      </c>
      <c r="F172" s="1">
        <v>4423611</v>
      </c>
      <c r="G172" s="1">
        <v>6222714</v>
      </c>
      <c r="H172" s="1">
        <v>7912558</v>
      </c>
      <c r="I172" s="2">
        <f t="shared" si="0"/>
        <v>248.82346509983441</v>
      </c>
      <c r="J172" s="1" t="str">
        <f t="shared" si="1"/>
        <v>Medium</v>
      </c>
    </row>
    <row r="173" spans="1:10" x14ac:dyDescent="0.2">
      <c r="A173" s="1" t="s">
        <v>170</v>
      </c>
      <c r="B173" s="1">
        <v>1646400</v>
      </c>
      <c r="C173" s="1">
        <v>2074507</v>
      </c>
      <c r="D173" s="1">
        <v>2413945</v>
      </c>
      <c r="E173" s="1">
        <v>3047132</v>
      </c>
      <c r="F173" s="1">
        <v>4027887</v>
      </c>
      <c r="G173" s="1">
        <v>5076732</v>
      </c>
      <c r="H173" s="1">
        <v>5685807</v>
      </c>
      <c r="I173" s="2">
        <f t="shared" si="0"/>
        <v>245.34784985422741</v>
      </c>
      <c r="J173" s="1" t="str">
        <f t="shared" si="1"/>
        <v>Medium</v>
      </c>
    </row>
    <row r="174" spans="1:10" x14ac:dyDescent="0.2">
      <c r="A174" s="1" t="s">
        <v>184</v>
      </c>
      <c r="B174" s="1">
        <v>2715</v>
      </c>
      <c r="C174" s="1">
        <v>6414</v>
      </c>
      <c r="D174" s="1">
        <v>12410</v>
      </c>
      <c r="E174" s="1">
        <v>28061</v>
      </c>
      <c r="F174" s="1">
        <v>30773</v>
      </c>
      <c r="G174" s="1">
        <v>33794</v>
      </c>
      <c r="H174" s="1">
        <v>41008</v>
      </c>
      <c r="I174" s="2">
        <f t="shared" si="0"/>
        <v>1410.4235727440148</v>
      </c>
      <c r="J174" s="1" t="str">
        <f t="shared" si="1"/>
        <v>Small</v>
      </c>
    </row>
    <row r="175" spans="1:10" x14ac:dyDescent="0.2">
      <c r="A175" s="1" t="s">
        <v>180</v>
      </c>
      <c r="B175" s="1">
        <v>4068095</v>
      </c>
      <c r="C175" s="1">
        <v>4538223</v>
      </c>
      <c r="D175" s="1">
        <v>4979815</v>
      </c>
      <c r="E175" s="1">
        <v>5299187</v>
      </c>
      <c r="F175" s="1">
        <v>5388720</v>
      </c>
      <c r="G175" s="1">
        <v>5391428</v>
      </c>
      <c r="H175" s="1">
        <v>5458827</v>
      </c>
      <c r="I175" s="2">
        <f t="shared" si="0"/>
        <v>34.18632062427254</v>
      </c>
      <c r="J175" s="1" t="str">
        <f t="shared" si="1"/>
        <v>Medium</v>
      </c>
    </row>
    <row r="176" spans="1:10" x14ac:dyDescent="0.2">
      <c r="A176" s="1" t="s">
        <v>181</v>
      </c>
      <c r="B176" s="1">
        <v>1584720</v>
      </c>
      <c r="C176" s="1">
        <v>1724891</v>
      </c>
      <c r="D176" s="1">
        <v>1901315</v>
      </c>
      <c r="E176" s="1">
        <v>1998161</v>
      </c>
      <c r="F176" s="1">
        <v>1988925</v>
      </c>
      <c r="G176" s="1">
        <v>2048583</v>
      </c>
      <c r="H176" s="1">
        <v>2102419</v>
      </c>
      <c r="I176" s="2">
        <f t="shared" si="0"/>
        <v>32.668168509263467</v>
      </c>
      <c r="J176" s="1" t="str">
        <f t="shared" si="1"/>
        <v>Medium</v>
      </c>
    </row>
    <row r="177" spans="1:10" x14ac:dyDescent="0.2">
      <c r="A177" s="1" t="s">
        <v>171</v>
      </c>
      <c r="B177" s="1">
        <v>139688</v>
      </c>
      <c r="C177" s="1">
        <v>176579</v>
      </c>
      <c r="D177" s="1">
        <v>238135</v>
      </c>
      <c r="E177" s="1">
        <v>331435</v>
      </c>
      <c r="F177" s="1">
        <v>440469</v>
      </c>
      <c r="G177" s="1">
        <v>532968</v>
      </c>
      <c r="H177" s="1">
        <v>744498</v>
      </c>
      <c r="I177" s="2">
        <f t="shared" si="0"/>
        <v>432.97205200160357</v>
      </c>
      <c r="J177" s="1" t="str">
        <f t="shared" si="1"/>
        <v>Small</v>
      </c>
    </row>
    <row r="178" spans="1:10" x14ac:dyDescent="0.2">
      <c r="A178" s="1" t="s">
        <v>175</v>
      </c>
      <c r="B178" s="1">
        <v>2876331</v>
      </c>
      <c r="C178" s="1">
        <v>3738448</v>
      </c>
      <c r="D178" s="1">
        <v>5936154</v>
      </c>
      <c r="E178" s="1">
        <v>7082811</v>
      </c>
      <c r="F178" s="1">
        <v>8838713</v>
      </c>
      <c r="G178" s="1">
        <v>12261756</v>
      </c>
      <c r="H178" s="1">
        <v>16651191</v>
      </c>
      <c r="I178" s="2">
        <f t="shared" si="0"/>
        <v>478.90385355510199</v>
      </c>
      <c r="J178" s="1" t="str">
        <f t="shared" si="1"/>
        <v>Large</v>
      </c>
    </row>
    <row r="179" spans="1:10" x14ac:dyDescent="0.2">
      <c r="A179" s="1" t="s">
        <v>214</v>
      </c>
      <c r="B179" s="1">
        <v>16440172</v>
      </c>
      <c r="C179" s="1">
        <v>22279984</v>
      </c>
      <c r="D179" s="1">
        <v>29518857</v>
      </c>
      <c r="E179" s="1">
        <v>40746268</v>
      </c>
      <c r="F179" s="1">
        <v>47159719</v>
      </c>
      <c r="G179" s="1">
        <v>52344051</v>
      </c>
      <c r="H179" s="1">
        <v>60562381</v>
      </c>
      <c r="I179" s="2">
        <f t="shared" si="0"/>
        <v>268.38045854994704</v>
      </c>
      <c r="J179" s="1" t="str">
        <f t="shared" si="1"/>
        <v>Large</v>
      </c>
    </row>
    <row r="180" spans="1:10" x14ac:dyDescent="0.2">
      <c r="A180" s="1" t="s">
        <v>177</v>
      </c>
      <c r="B180" s="1">
        <v>2931559</v>
      </c>
      <c r="C180" s="1">
        <v>3409614</v>
      </c>
      <c r="D180" s="1">
        <v>4339030</v>
      </c>
      <c r="E180" s="1">
        <v>4737633</v>
      </c>
      <c r="F180" s="1">
        <v>6032267</v>
      </c>
      <c r="G180" s="1">
        <v>9745953</v>
      </c>
      <c r="H180" s="1">
        <v>10698467</v>
      </c>
      <c r="I180" s="2">
        <f t="shared" si="0"/>
        <v>264.94121387289152</v>
      </c>
      <c r="J180" s="1" t="str">
        <f t="shared" si="1"/>
        <v>Large</v>
      </c>
    </row>
    <row r="181" spans="1:10" x14ac:dyDescent="0.2">
      <c r="A181" s="1" t="s">
        <v>61</v>
      </c>
      <c r="B181" s="1">
        <v>30455000</v>
      </c>
      <c r="C181" s="1">
        <v>33814531</v>
      </c>
      <c r="D181" s="1">
        <v>37491165</v>
      </c>
      <c r="E181" s="1">
        <v>38867322</v>
      </c>
      <c r="F181" s="1">
        <v>40567864</v>
      </c>
      <c r="G181" s="1">
        <v>46576897</v>
      </c>
      <c r="H181" s="1">
        <v>47359424</v>
      </c>
      <c r="I181" s="2">
        <f t="shared" si="0"/>
        <v>55.506235429321947</v>
      </c>
      <c r="J181" s="1" t="str">
        <f t="shared" si="1"/>
        <v>Large</v>
      </c>
    </row>
    <row r="182" spans="1:10" x14ac:dyDescent="0.2">
      <c r="A182" s="1" t="s">
        <v>114</v>
      </c>
      <c r="B182" s="1">
        <v>9661389</v>
      </c>
      <c r="C182" s="1">
        <v>12287110</v>
      </c>
      <c r="D182" s="1">
        <v>14847974</v>
      </c>
      <c r="E182" s="1">
        <v>16352458</v>
      </c>
      <c r="F182" s="1">
        <v>19293054</v>
      </c>
      <c r="G182" s="1">
        <v>20879089</v>
      </c>
      <c r="H182" s="1">
        <v>21919000</v>
      </c>
      <c r="I182" s="2">
        <f t="shared" si="0"/>
        <v>126.8721402274559</v>
      </c>
      <c r="J182" s="1" t="str">
        <f t="shared" si="1"/>
        <v>Large</v>
      </c>
    </row>
    <row r="183" spans="1:10" x14ac:dyDescent="0.2">
      <c r="A183" s="1" t="s">
        <v>106</v>
      </c>
      <c r="B183" s="1">
        <v>55810</v>
      </c>
      <c r="C183" s="1">
        <v>44606</v>
      </c>
      <c r="D183" s="1">
        <v>42850</v>
      </c>
      <c r="E183" s="1">
        <v>40432</v>
      </c>
      <c r="F183" s="1">
        <v>45248</v>
      </c>
      <c r="G183" s="1">
        <v>46846</v>
      </c>
      <c r="H183" s="1">
        <v>46870</v>
      </c>
      <c r="I183" s="2">
        <f t="shared" si="0"/>
        <v>-16.01863465328794</v>
      </c>
      <c r="J183" s="1" t="str">
        <f t="shared" si="1"/>
        <v>Small</v>
      </c>
    </row>
    <row r="184" spans="1:10" x14ac:dyDescent="0.2">
      <c r="A184" s="1" t="s">
        <v>112</v>
      </c>
      <c r="B184" s="1">
        <v>92585</v>
      </c>
      <c r="C184" s="1">
        <v>103165</v>
      </c>
      <c r="D184" s="1">
        <v>119290</v>
      </c>
      <c r="E184" s="1">
        <v>137857</v>
      </c>
      <c r="F184" s="1">
        <v>158616</v>
      </c>
      <c r="G184" s="1">
        <v>170906</v>
      </c>
      <c r="H184" s="1">
        <v>178250</v>
      </c>
      <c r="I184" s="2">
        <f t="shared" si="0"/>
        <v>92.525787114543391</v>
      </c>
      <c r="J184" s="1" t="str">
        <f t="shared" si="1"/>
        <v>Small</v>
      </c>
    </row>
    <row r="185" spans="1:10" x14ac:dyDescent="0.2">
      <c r="A185" s="1" t="s">
        <v>120</v>
      </c>
      <c r="B185" s="1">
        <v>4250</v>
      </c>
      <c r="C185" s="1">
        <v>6047</v>
      </c>
      <c r="D185" s="1">
        <v>8288</v>
      </c>
      <c r="E185" s="1">
        <v>28224</v>
      </c>
      <c r="F185" s="1">
        <v>29996</v>
      </c>
      <c r="G185" s="1">
        <v>36856</v>
      </c>
      <c r="H185" s="1">
        <v>31786</v>
      </c>
      <c r="I185" s="2">
        <f t="shared" si="0"/>
        <v>647.90588235294115</v>
      </c>
      <c r="J185" s="1" t="str">
        <f t="shared" si="1"/>
        <v>Small</v>
      </c>
    </row>
    <row r="186" spans="1:10" x14ac:dyDescent="0.2">
      <c r="A186" s="1" t="s">
        <v>205</v>
      </c>
      <c r="B186" s="1">
        <v>84388</v>
      </c>
      <c r="C186" s="1">
        <v>95964</v>
      </c>
      <c r="D186" s="1">
        <v>104213</v>
      </c>
      <c r="E186" s="1">
        <v>111812</v>
      </c>
      <c r="F186" s="1">
        <v>113545</v>
      </c>
      <c r="G186" s="1">
        <v>109959</v>
      </c>
      <c r="H186" s="1">
        <v>103526</v>
      </c>
      <c r="I186" s="2">
        <f t="shared" si="0"/>
        <v>22.678579892875764</v>
      </c>
      <c r="J186" s="1" t="str">
        <f t="shared" si="1"/>
        <v>Small</v>
      </c>
    </row>
    <row r="187" spans="1:10" x14ac:dyDescent="0.2">
      <c r="A187" s="1" t="s">
        <v>168</v>
      </c>
      <c r="B187" s="1">
        <v>8364489</v>
      </c>
      <c r="C187" s="1">
        <v>11695771</v>
      </c>
      <c r="D187" s="1">
        <v>17058905</v>
      </c>
      <c r="E187" s="1">
        <v>22021481</v>
      </c>
      <c r="F187" s="1">
        <v>27816745</v>
      </c>
      <c r="G187" s="1">
        <v>35414399</v>
      </c>
      <c r="H187" s="1">
        <v>46789231</v>
      </c>
      <c r="I187" s="2">
        <f t="shared" si="0"/>
        <v>459.37943130775835</v>
      </c>
      <c r="J187" s="1" t="str">
        <f t="shared" si="1"/>
        <v>Large</v>
      </c>
    </row>
    <row r="188" spans="1:10" x14ac:dyDescent="0.2">
      <c r="A188" s="1" t="s">
        <v>179</v>
      </c>
      <c r="B188" s="1">
        <v>263918</v>
      </c>
      <c r="C188" s="1">
        <v>379442</v>
      </c>
      <c r="D188" s="1">
        <v>375377</v>
      </c>
      <c r="E188" s="1">
        <v>412493</v>
      </c>
      <c r="F188" s="1">
        <v>476643</v>
      </c>
      <c r="G188" s="1">
        <v>549923</v>
      </c>
      <c r="H188" s="1">
        <v>612317</v>
      </c>
      <c r="I188" s="2">
        <f t="shared" si="0"/>
        <v>132.01032138770375</v>
      </c>
      <c r="J188" s="1" t="str">
        <f t="shared" si="1"/>
        <v>Small</v>
      </c>
    </row>
    <row r="189" spans="1:10" x14ac:dyDescent="0.2">
      <c r="A189" s="1" t="s">
        <v>182</v>
      </c>
      <c r="B189" s="1">
        <v>7484656</v>
      </c>
      <c r="C189" s="1">
        <v>8042801</v>
      </c>
      <c r="D189" s="1">
        <v>8310531</v>
      </c>
      <c r="E189" s="1">
        <v>8558835</v>
      </c>
      <c r="F189" s="1">
        <v>8872109</v>
      </c>
      <c r="G189" s="1">
        <v>9378126</v>
      </c>
      <c r="H189" s="1">
        <v>10353442</v>
      </c>
      <c r="I189" s="2">
        <f t="shared" si="0"/>
        <v>38.328895810308452</v>
      </c>
      <c r="J189" s="1" t="str">
        <f t="shared" si="1"/>
        <v>Large</v>
      </c>
    </row>
    <row r="190" spans="1:10" x14ac:dyDescent="0.2">
      <c r="A190" s="1" t="s">
        <v>35</v>
      </c>
      <c r="B190" s="1">
        <v>5327827</v>
      </c>
      <c r="C190" s="1">
        <v>6180877</v>
      </c>
      <c r="D190" s="1">
        <v>6319408</v>
      </c>
      <c r="E190" s="1">
        <v>6715519</v>
      </c>
      <c r="F190" s="1">
        <v>7184250</v>
      </c>
      <c r="G190" s="1">
        <v>7824909</v>
      </c>
      <c r="H190" s="1">
        <v>8638167</v>
      </c>
      <c r="I190" s="2">
        <f t="shared" si="0"/>
        <v>62.133023463412009</v>
      </c>
      <c r="J190" s="1" t="str">
        <f t="shared" si="1"/>
        <v>Medium</v>
      </c>
    </row>
    <row r="191" spans="1:10" x14ac:dyDescent="0.2">
      <c r="A191" s="1" t="s">
        <v>186</v>
      </c>
      <c r="B191" s="1">
        <v>4673500</v>
      </c>
      <c r="C191" s="1">
        <v>6380609</v>
      </c>
      <c r="D191" s="1">
        <v>8957663</v>
      </c>
      <c r="E191" s="1">
        <v>12579208</v>
      </c>
      <c r="F191" s="1">
        <v>16637888</v>
      </c>
      <c r="G191" s="1">
        <v>22482421</v>
      </c>
      <c r="H191" s="1">
        <v>21049429</v>
      </c>
      <c r="I191" s="2">
        <f t="shared" si="0"/>
        <v>350.39967904140366</v>
      </c>
      <c r="J191" s="1" t="str">
        <f t="shared" si="1"/>
        <v>Large</v>
      </c>
    </row>
    <row r="192" spans="1:10" x14ac:dyDescent="0.2">
      <c r="A192" s="1" t="s">
        <v>191</v>
      </c>
      <c r="B192" s="1">
        <v>2112131</v>
      </c>
      <c r="C192" s="1">
        <v>2936779</v>
      </c>
      <c r="D192" s="1">
        <v>3995256</v>
      </c>
      <c r="E192" s="1">
        <v>5398768</v>
      </c>
      <c r="F192" s="1">
        <v>6284735</v>
      </c>
      <c r="G192" s="1">
        <v>7652141</v>
      </c>
      <c r="H192" s="1">
        <v>9749310</v>
      </c>
      <c r="I192" s="2">
        <f t="shared" si="0"/>
        <v>361.5864262207221</v>
      </c>
      <c r="J192" s="1" t="str">
        <f t="shared" si="1"/>
        <v>Medium</v>
      </c>
    </row>
    <row r="193" spans="1:10" x14ac:dyDescent="0.2">
      <c r="A193" s="1" t="s">
        <v>199</v>
      </c>
      <c r="B193" s="1">
        <v>9901419</v>
      </c>
      <c r="C193" s="1">
        <v>13492677</v>
      </c>
      <c r="D193" s="1">
        <v>19189769</v>
      </c>
      <c r="E193" s="1">
        <v>26110207</v>
      </c>
      <c r="F193" s="1">
        <v>34260139</v>
      </c>
      <c r="G193" s="1">
        <v>44758488</v>
      </c>
      <c r="H193" s="1">
        <v>60972798</v>
      </c>
      <c r="I193" s="2">
        <f t="shared" si="0"/>
        <v>515.79858402113871</v>
      </c>
      <c r="J193" s="1" t="str">
        <f t="shared" si="1"/>
        <v>Large</v>
      </c>
    </row>
    <row r="194" spans="1:10" x14ac:dyDescent="0.2">
      <c r="A194" s="1" t="s">
        <v>190</v>
      </c>
      <c r="B194" s="1">
        <v>26851747</v>
      </c>
      <c r="C194" s="1">
        <v>35954408</v>
      </c>
      <c r="D194" s="1">
        <v>45650022</v>
      </c>
      <c r="E194" s="1">
        <v>54738329</v>
      </c>
      <c r="F194" s="1">
        <v>63007815</v>
      </c>
      <c r="G194" s="1">
        <v>68579447</v>
      </c>
      <c r="H194" s="1">
        <v>71641484</v>
      </c>
      <c r="I194" s="2">
        <f t="shared" si="0"/>
        <v>166.8038098228767</v>
      </c>
      <c r="J194" s="1" t="str">
        <f t="shared" si="1"/>
        <v>Large</v>
      </c>
    </row>
    <row r="195" spans="1:10" x14ac:dyDescent="0.2">
      <c r="A195" s="1" t="s">
        <v>193</v>
      </c>
      <c r="B195" s="1">
        <v>468118</v>
      </c>
      <c r="C195" s="1">
        <v>553069</v>
      </c>
      <c r="D195" s="1">
        <v>649871</v>
      </c>
      <c r="E195" s="1">
        <v>760345</v>
      </c>
      <c r="F195" s="1">
        <v>745088</v>
      </c>
      <c r="G195" s="1">
        <v>1084679</v>
      </c>
      <c r="H195" s="1">
        <v>1326053</v>
      </c>
      <c r="I195" s="2">
        <f t="shared" si="0"/>
        <v>183.27323452633738</v>
      </c>
      <c r="J195" s="1" t="str">
        <f t="shared" si="1"/>
        <v>Medium</v>
      </c>
    </row>
    <row r="196" spans="1:10" x14ac:dyDescent="0.2">
      <c r="A196" s="1" t="s">
        <v>189</v>
      </c>
      <c r="B196" s="1">
        <v>1673110</v>
      </c>
      <c r="C196" s="1">
        <v>2244773</v>
      </c>
      <c r="D196" s="1">
        <v>2920894</v>
      </c>
      <c r="E196" s="1">
        <v>3998761</v>
      </c>
      <c r="F196" s="1">
        <v>5140037</v>
      </c>
      <c r="G196" s="1">
        <v>6732590</v>
      </c>
      <c r="H196" s="1">
        <v>8669720</v>
      </c>
      <c r="I196" s="2">
        <f t="shared" si="0"/>
        <v>418.17991644303129</v>
      </c>
      <c r="J196" s="1" t="str">
        <f t="shared" si="1"/>
        <v>Medium</v>
      </c>
    </row>
    <row r="197" spans="1:10" x14ac:dyDescent="0.2">
      <c r="A197" s="1" t="s">
        <v>194</v>
      </c>
      <c r="B197" s="1">
        <v>66170</v>
      </c>
      <c r="C197" s="1">
        <v>84401</v>
      </c>
      <c r="D197" s="1">
        <v>97769</v>
      </c>
      <c r="E197" s="1">
        <v>99700</v>
      </c>
      <c r="F197" s="1">
        <v>102677</v>
      </c>
      <c r="G197" s="1">
        <v>107400</v>
      </c>
      <c r="H197" s="1">
        <v>105704</v>
      </c>
      <c r="I197" s="2">
        <f t="shared" si="0"/>
        <v>59.746108508387486</v>
      </c>
      <c r="J197" s="1" t="str">
        <f t="shared" si="1"/>
        <v>Small</v>
      </c>
    </row>
    <row r="198" spans="1:10" x14ac:dyDescent="0.2">
      <c r="A198" s="1" t="s">
        <v>195</v>
      </c>
      <c r="B198" s="1">
        <v>844943</v>
      </c>
      <c r="C198" s="1">
        <v>991471</v>
      </c>
      <c r="D198" s="1">
        <v>1121744</v>
      </c>
      <c r="E198" s="1">
        <v>1252208</v>
      </c>
      <c r="F198" s="1">
        <v>1319774</v>
      </c>
      <c r="G198" s="1">
        <v>1317714</v>
      </c>
      <c r="H198" s="1">
        <v>1366725</v>
      </c>
      <c r="I198" s="2">
        <f t="shared" si="0"/>
        <v>61.75351473413</v>
      </c>
      <c r="J198" s="1" t="str">
        <f t="shared" si="1"/>
        <v>Medium</v>
      </c>
    </row>
    <row r="199" spans="1:10" x14ac:dyDescent="0.2">
      <c r="A199" s="1" t="s">
        <v>196</v>
      </c>
      <c r="B199" s="1">
        <v>4267288</v>
      </c>
      <c r="C199" s="1">
        <v>5131396</v>
      </c>
      <c r="D199" s="1">
        <v>6606195</v>
      </c>
      <c r="E199" s="1">
        <v>8324509</v>
      </c>
      <c r="F199" s="1">
        <v>9764935</v>
      </c>
      <c r="G199" s="1">
        <v>10765980</v>
      </c>
      <c r="H199" s="1">
        <v>11974057</v>
      </c>
      <c r="I199" s="2">
        <f t="shared" si="0"/>
        <v>180.60109840254512</v>
      </c>
      <c r="J199" s="1" t="str">
        <f t="shared" si="1"/>
        <v>Large</v>
      </c>
    </row>
    <row r="200" spans="1:10" x14ac:dyDescent="0.2">
      <c r="A200" s="1" t="s">
        <v>197</v>
      </c>
      <c r="B200" s="1">
        <v>28329898</v>
      </c>
      <c r="C200" s="1">
        <v>36638465</v>
      </c>
      <c r="D200" s="1">
        <v>45408815</v>
      </c>
      <c r="E200" s="1">
        <v>56015628</v>
      </c>
      <c r="F200" s="1">
        <v>65425961</v>
      </c>
      <c r="G200" s="1">
        <v>73142150</v>
      </c>
      <c r="H200" s="1">
        <v>83384680</v>
      </c>
      <c r="I200" s="2">
        <f t="shared" si="0"/>
        <v>194.33455778767717</v>
      </c>
      <c r="J200" s="1" t="str">
        <f t="shared" si="1"/>
        <v>Large</v>
      </c>
    </row>
    <row r="201" spans="1:10" x14ac:dyDescent="0.2">
      <c r="A201" s="1" t="s">
        <v>192</v>
      </c>
      <c r="B201" s="1">
        <v>1643457</v>
      </c>
      <c r="C201" s="1">
        <v>2195616</v>
      </c>
      <c r="D201" s="1">
        <v>2832203</v>
      </c>
      <c r="E201" s="1">
        <v>3760562</v>
      </c>
      <c r="F201" s="1">
        <v>4582677</v>
      </c>
      <c r="G201" s="1">
        <v>5564356</v>
      </c>
      <c r="H201" s="1">
        <v>6949912</v>
      </c>
      <c r="I201" s="2">
        <f t="shared" si="0"/>
        <v>322.88371402476611</v>
      </c>
      <c r="J201" s="1" t="str">
        <f t="shared" si="1"/>
        <v>Medium</v>
      </c>
    </row>
    <row r="202" spans="1:10" x14ac:dyDescent="0.2">
      <c r="A202" s="1" t="s">
        <v>187</v>
      </c>
      <c r="B202" s="1">
        <v>5599</v>
      </c>
      <c r="C202" s="1">
        <v>5667</v>
      </c>
      <c r="D202" s="1">
        <v>7564</v>
      </c>
      <c r="E202" s="1">
        <v>11688</v>
      </c>
      <c r="F202" s="1">
        <v>18730</v>
      </c>
      <c r="G202" s="1">
        <v>29739</v>
      </c>
      <c r="H202" s="1">
        <v>44386</v>
      </c>
      <c r="I202" s="2">
        <f t="shared" si="0"/>
        <v>692.74870512591531</v>
      </c>
      <c r="J202" s="1" t="str">
        <f t="shared" si="1"/>
        <v>Small</v>
      </c>
    </row>
    <row r="203" spans="1:10" x14ac:dyDescent="0.2">
      <c r="A203" s="1" t="s">
        <v>198</v>
      </c>
      <c r="B203" s="1">
        <v>5598</v>
      </c>
      <c r="C203" s="1">
        <v>5663</v>
      </c>
      <c r="D203" s="1">
        <v>7366</v>
      </c>
      <c r="E203" s="1">
        <v>8798</v>
      </c>
      <c r="F203" s="1">
        <v>9544</v>
      </c>
      <c r="G203" s="1">
        <v>10614</v>
      </c>
      <c r="H203" s="1">
        <v>10399</v>
      </c>
      <c r="I203" s="2">
        <f t="shared" si="0"/>
        <v>85.762772418720971</v>
      </c>
      <c r="J203" s="1" t="str">
        <f t="shared" si="1"/>
        <v>Small</v>
      </c>
    </row>
    <row r="204" spans="1:10" x14ac:dyDescent="0.2">
      <c r="A204" s="1" t="s">
        <v>200</v>
      </c>
      <c r="B204" s="1">
        <v>7640973</v>
      </c>
      <c r="C204" s="1">
        <v>10321603</v>
      </c>
      <c r="D204" s="1">
        <v>13275741</v>
      </c>
      <c r="E204" s="1">
        <v>17569897</v>
      </c>
      <c r="F204" s="1">
        <v>24000150</v>
      </c>
      <c r="G204" s="1">
        <v>32390802</v>
      </c>
      <c r="H204" s="1">
        <v>44457152</v>
      </c>
      <c r="I204" s="2">
        <f t="shared" si="0"/>
        <v>481.82579626966356</v>
      </c>
      <c r="J204" s="1" t="str">
        <f t="shared" si="1"/>
        <v>Large</v>
      </c>
    </row>
    <row r="205" spans="1:10" x14ac:dyDescent="0.2">
      <c r="A205" s="1" t="s">
        <v>201</v>
      </c>
      <c r="B205" s="1">
        <v>42824093</v>
      </c>
      <c r="C205" s="1">
        <v>47261306</v>
      </c>
      <c r="D205" s="1">
        <v>49955152</v>
      </c>
      <c r="E205" s="1">
        <v>52054092</v>
      </c>
      <c r="F205" s="1">
        <v>49556660</v>
      </c>
      <c r="G205" s="1">
        <v>46456003</v>
      </c>
      <c r="H205" s="1">
        <v>44680014</v>
      </c>
      <c r="I205" s="2">
        <f t="shared" si="0"/>
        <v>4.3338244198190026</v>
      </c>
      <c r="J205" s="1" t="str">
        <f t="shared" si="1"/>
        <v>Large</v>
      </c>
    </row>
    <row r="206" spans="1:10" x14ac:dyDescent="0.2">
      <c r="A206" s="1" t="s">
        <v>6</v>
      </c>
      <c r="B206" s="1">
        <v>131334</v>
      </c>
      <c r="C206" s="1">
        <v>286536</v>
      </c>
      <c r="D206" s="1">
        <v>1015700</v>
      </c>
      <c r="E206" s="1">
        <v>1898220</v>
      </c>
      <c r="F206" s="1">
        <v>3493575</v>
      </c>
      <c r="G206" s="1">
        <v>6869838</v>
      </c>
      <c r="H206" s="1">
        <v>9401038</v>
      </c>
      <c r="I206" s="2">
        <f t="shared" si="0"/>
        <v>7058.1144258150971</v>
      </c>
      <c r="J206" s="1" t="str">
        <f t="shared" si="1"/>
        <v>Medium</v>
      </c>
    </row>
    <row r="207" spans="1:10" x14ac:dyDescent="0.2">
      <c r="A207" s="1" t="s">
        <v>70</v>
      </c>
      <c r="B207" s="1">
        <v>52400000</v>
      </c>
      <c r="C207" s="1">
        <v>55663250</v>
      </c>
      <c r="D207" s="1">
        <v>56314216</v>
      </c>
      <c r="E207" s="1">
        <v>57247586</v>
      </c>
      <c r="F207" s="1">
        <v>58892514</v>
      </c>
      <c r="G207" s="1">
        <v>62766365</v>
      </c>
      <c r="H207" s="1">
        <v>66744000</v>
      </c>
      <c r="I207" s="2">
        <f t="shared" si="0"/>
        <v>27.374045801526719</v>
      </c>
      <c r="J207" s="1" t="str">
        <f t="shared" si="1"/>
        <v>Large</v>
      </c>
    </row>
    <row r="208" spans="1:10" x14ac:dyDescent="0.2">
      <c r="A208" s="1" t="s">
        <v>203</v>
      </c>
      <c r="B208" s="1">
        <v>180671000</v>
      </c>
      <c r="C208" s="1">
        <v>205052000</v>
      </c>
      <c r="D208" s="1">
        <v>227225000</v>
      </c>
      <c r="E208" s="1">
        <v>249623000</v>
      </c>
      <c r="F208" s="1">
        <v>282162411</v>
      </c>
      <c r="G208" s="1">
        <v>309378227</v>
      </c>
      <c r="H208" s="1">
        <v>331577720</v>
      </c>
      <c r="I208" s="2">
        <f t="shared" si="0"/>
        <v>83.525701413065732</v>
      </c>
      <c r="J208" s="1" t="str">
        <f t="shared" si="1"/>
        <v>Large</v>
      </c>
    </row>
    <row r="209" spans="1:10" x14ac:dyDescent="0.2">
      <c r="A209" s="1" t="s">
        <v>202</v>
      </c>
      <c r="B209" s="1">
        <v>2529957</v>
      </c>
      <c r="C209" s="1">
        <v>2790807</v>
      </c>
      <c r="D209" s="1">
        <v>2951953</v>
      </c>
      <c r="E209" s="1">
        <v>3104403</v>
      </c>
      <c r="F209" s="1">
        <v>3266206</v>
      </c>
      <c r="G209" s="1">
        <v>3318580</v>
      </c>
      <c r="H209" s="1">
        <v>3398968</v>
      </c>
      <c r="I209" s="2">
        <f t="shared" si="0"/>
        <v>34.348844664158321</v>
      </c>
      <c r="J209" s="1" t="str">
        <f t="shared" si="1"/>
        <v>Medium</v>
      </c>
    </row>
    <row r="210" spans="1:10" x14ac:dyDescent="0.2">
      <c r="A210" s="1" t="s">
        <v>204</v>
      </c>
      <c r="B210" s="1">
        <v>8209109</v>
      </c>
      <c r="C210" s="1">
        <v>11762638</v>
      </c>
      <c r="D210" s="1">
        <v>15619936</v>
      </c>
      <c r="E210" s="1">
        <v>20464956</v>
      </c>
      <c r="F210" s="1">
        <v>24787054</v>
      </c>
      <c r="G210" s="1">
        <v>28385506</v>
      </c>
      <c r="H210" s="1">
        <v>33586372</v>
      </c>
      <c r="I210" s="2">
        <f t="shared" si="0"/>
        <v>309.13541286880218</v>
      </c>
      <c r="J210" s="1" t="str">
        <f t="shared" si="1"/>
        <v>Large</v>
      </c>
    </row>
    <row r="211" spans="1:10" x14ac:dyDescent="0.2">
      <c r="A211" s="1" t="s">
        <v>210</v>
      </c>
      <c r="B211" s="1">
        <v>64431</v>
      </c>
      <c r="C211" s="1">
        <v>86266</v>
      </c>
      <c r="D211" s="1">
        <v>115660</v>
      </c>
      <c r="E211" s="1">
        <v>148063</v>
      </c>
      <c r="F211" s="1">
        <v>186281</v>
      </c>
      <c r="G211" s="1">
        <v>238248</v>
      </c>
      <c r="H211" s="1">
        <v>298858</v>
      </c>
      <c r="I211" s="2">
        <f t="shared" si="0"/>
        <v>363.84193943908991</v>
      </c>
      <c r="J211" s="1" t="str">
        <f t="shared" si="1"/>
        <v>Small</v>
      </c>
    </row>
    <row r="212" spans="1:10" x14ac:dyDescent="0.2">
      <c r="A212" s="1" t="s">
        <v>206</v>
      </c>
      <c r="B212" s="1">
        <v>8160090</v>
      </c>
      <c r="C212" s="1">
        <v>11387790</v>
      </c>
      <c r="D212" s="1">
        <v>15258218</v>
      </c>
      <c r="E212" s="1">
        <v>19827010</v>
      </c>
      <c r="F212" s="1">
        <v>24526708</v>
      </c>
      <c r="G212" s="1">
        <v>28813101</v>
      </c>
      <c r="H212" s="1">
        <v>28444077</v>
      </c>
      <c r="I212" s="2">
        <f t="shared" si="0"/>
        <v>248.57553041694391</v>
      </c>
      <c r="J212" s="1" t="str">
        <f t="shared" si="1"/>
        <v>Large</v>
      </c>
    </row>
    <row r="213" spans="1:10" x14ac:dyDescent="0.2">
      <c r="A213" s="1" t="s">
        <v>209</v>
      </c>
      <c r="B213" s="1">
        <v>32531933</v>
      </c>
      <c r="C213" s="1">
        <v>41475230</v>
      </c>
      <c r="D213" s="1">
        <v>52490101</v>
      </c>
      <c r="E213" s="1">
        <v>65504552</v>
      </c>
      <c r="F213" s="1">
        <v>77154011</v>
      </c>
      <c r="G213" s="1">
        <v>87455152</v>
      </c>
      <c r="H213" s="1">
        <v>98079191</v>
      </c>
      <c r="I213" s="2">
        <f t="shared" si="0"/>
        <v>201.4859000232172</v>
      </c>
      <c r="J213" s="1" t="str">
        <f t="shared" si="1"/>
        <v>Large</v>
      </c>
    </row>
    <row r="214" spans="1:10" x14ac:dyDescent="0.2">
      <c r="A214" s="1" t="s">
        <v>208</v>
      </c>
      <c r="B214" s="1">
        <v>32500</v>
      </c>
      <c r="C214" s="1">
        <v>63476</v>
      </c>
      <c r="D214" s="1">
        <v>99636</v>
      </c>
      <c r="E214" s="1">
        <v>103963</v>
      </c>
      <c r="F214" s="1">
        <v>108642</v>
      </c>
      <c r="G214" s="1">
        <v>108357</v>
      </c>
      <c r="H214" s="1">
        <v>106290</v>
      </c>
      <c r="I214" s="2">
        <f t="shared" si="0"/>
        <v>227.04615384615386</v>
      </c>
      <c r="J214" s="1" t="str">
        <f t="shared" si="1"/>
        <v>Small</v>
      </c>
    </row>
    <row r="215" spans="1:10" x14ac:dyDescent="0.2">
      <c r="A215" s="1" t="s">
        <v>162</v>
      </c>
      <c r="B215" s="1"/>
      <c r="C215" s="1"/>
      <c r="D215" s="1"/>
      <c r="E215" s="1">
        <v>1978248</v>
      </c>
      <c r="F215" s="1">
        <v>2922153</v>
      </c>
      <c r="G215" s="1">
        <v>3786161</v>
      </c>
      <c r="H215" s="1">
        <v>4803269</v>
      </c>
      <c r="I215" s="2">
        <f>(H215-E215)/E215*100</f>
        <v>142.80418835252203</v>
      </c>
      <c r="J215" s="1" t="str">
        <f t="shared" si="1"/>
        <v>Medium</v>
      </c>
    </row>
    <row r="216" spans="1:10" x14ac:dyDescent="0.2">
      <c r="A216" s="1" t="s">
        <v>213</v>
      </c>
      <c r="B216" s="1">
        <v>5532301</v>
      </c>
      <c r="C216" s="1">
        <v>7065279</v>
      </c>
      <c r="D216" s="1">
        <v>9543358</v>
      </c>
      <c r="E216" s="1">
        <v>13887862</v>
      </c>
      <c r="F216" s="1">
        <v>19624141</v>
      </c>
      <c r="G216" s="1">
        <v>26754387</v>
      </c>
      <c r="H216" s="1">
        <v>36134863</v>
      </c>
      <c r="I216" s="2">
        <f t="shared" ref="I216:I218" si="2">(H216-B216)/B216*100</f>
        <v>553.16155068207604</v>
      </c>
      <c r="J216" s="1" t="str">
        <f t="shared" si="1"/>
        <v>Large</v>
      </c>
    </row>
    <row r="217" spans="1:10" x14ac:dyDescent="0.2">
      <c r="A217" s="1" t="s">
        <v>215</v>
      </c>
      <c r="B217" s="1">
        <v>3153729</v>
      </c>
      <c r="C217" s="1">
        <v>4321718</v>
      </c>
      <c r="D217" s="1">
        <v>5802833</v>
      </c>
      <c r="E217" s="1">
        <v>7786169</v>
      </c>
      <c r="F217" s="1">
        <v>10017631</v>
      </c>
      <c r="G217" s="1">
        <v>13965594</v>
      </c>
      <c r="H217" s="1">
        <v>19059395</v>
      </c>
      <c r="I217" s="2">
        <f t="shared" si="2"/>
        <v>504.34472968349536</v>
      </c>
      <c r="J217" s="1" t="str">
        <f t="shared" si="1"/>
        <v>Large</v>
      </c>
    </row>
    <row r="218" spans="1:10" x14ac:dyDescent="0.2">
      <c r="A218" s="1" t="s">
        <v>216</v>
      </c>
      <c r="B218" s="1">
        <v>3809389</v>
      </c>
      <c r="C218" s="1">
        <v>5215918</v>
      </c>
      <c r="D218" s="1">
        <v>7041303</v>
      </c>
      <c r="E218" s="1">
        <v>10137281</v>
      </c>
      <c r="F218" s="1">
        <v>11892055</v>
      </c>
      <c r="G218" s="1">
        <v>13356548</v>
      </c>
      <c r="H218" s="1">
        <v>15526888</v>
      </c>
      <c r="I218" s="2">
        <f t="shared" si="2"/>
        <v>307.59523377633525</v>
      </c>
      <c r="J218" s="1" t="str">
        <f t="shared" si="1"/>
        <v>Large</v>
      </c>
    </row>
  </sheetData>
  <mergeCells count="4">
    <mergeCell ref="B1:H1"/>
    <mergeCell ref="A1:A2"/>
    <mergeCell ref="I1:I2"/>
    <mergeCell ref="J1:J2"/>
  </mergeCells>
  <conditionalFormatting sqref="A1:I2">
    <cfRule type="notContainsBlanks" dxfId="1" priority="1">
      <formula>LEN(TRIM(A1))&gt;0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O218"/>
  <sheetViews>
    <sheetView workbookViewId="0">
      <pane ySplit="2" topLeftCell="A3" activePane="bottomLeft" state="frozen"/>
      <selection pane="bottomLeft" activeCell="L24" sqref="L24"/>
    </sheetView>
  </sheetViews>
  <sheetFormatPr defaultColWidth="12.5703125" defaultRowHeight="15.75" customHeight="1" x14ac:dyDescent="0.2"/>
  <cols>
    <col min="11" max="12" width="26.28515625" customWidth="1"/>
    <col min="13" max="13" width="18.42578125" customWidth="1"/>
    <col min="14" max="14" width="29.5703125" customWidth="1"/>
    <col min="15" max="15" width="19.5703125" customWidth="1"/>
  </cols>
  <sheetData>
    <row r="1" spans="1:15" ht="12.75" x14ac:dyDescent="0.2">
      <c r="A1" s="22" t="s">
        <v>0</v>
      </c>
      <c r="B1" s="20" t="s">
        <v>217</v>
      </c>
      <c r="C1" s="21"/>
      <c r="D1" s="21"/>
      <c r="E1" s="21"/>
      <c r="F1" s="21"/>
      <c r="G1" s="21"/>
      <c r="H1" s="21"/>
      <c r="I1" s="23" t="s">
        <v>218</v>
      </c>
      <c r="J1" s="23" t="s">
        <v>219</v>
      </c>
      <c r="K1" s="3"/>
      <c r="L1" s="3"/>
      <c r="M1" s="3"/>
      <c r="N1" s="3"/>
      <c r="O1" s="3"/>
    </row>
    <row r="2" spans="1:15" ht="22.5" customHeight="1" x14ac:dyDescent="0.2">
      <c r="A2" s="21"/>
      <c r="B2" s="1">
        <v>1960</v>
      </c>
      <c r="C2" s="1">
        <v>1970</v>
      </c>
      <c r="D2" s="1">
        <v>1980</v>
      </c>
      <c r="E2" s="1">
        <v>1990</v>
      </c>
      <c r="F2" s="1">
        <v>2000</v>
      </c>
      <c r="G2" s="1">
        <v>2010</v>
      </c>
      <c r="H2" s="1">
        <v>2020</v>
      </c>
      <c r="I2" s="21"/>
      <c r="J2" s="21"/>
      <c r="K2" s="3"/>
      <c r="L2" s="4" t="s">
        <v>220</v>
      </c>
      <c r="M2" s="4" t="s">
        <v>221</v>
      </c>
      <c r="N2" s="4" t="s">
        <v>222</v>
      </c>
      <c r="O2" s="4" t="s">
        <v>223</v>
      </c>
    </row>
    <row r="3" spans="1:15" ht="22.5" customHeight="1" x14ac:dyDescent="0.2">
      <c r="A3" s="1" t="s">
        <v>2</v>
      </c>
      <c r="B3" s="1">
        <v>9035043</v>
      </c>
      <c r="C3" s="1">
        <v>11290128</v>
      </c>
      <c r="D3" s="1">
        <v>13169311</v>
      </c>
      <c r="E3" s="1">
        <v>12045660</v>
      </c>
      <c r="F3" s="1">
        <v>20130327</v>
      </c>
      <c r="G3" s="1">
        <v>28284089</v>
      </c>
      <c r="H3" s="1">
        <v>39068979</v>
      </c>
      <c r="I3" s="2">
        <f t="shared" ref="I3:I214" si="0">(H3-B3)/B3*100</f>
        <v>332.41608257979516</v>
      </c>
      <c r="J3" s="1" t="str">
        <f t="shared" ref="J3:J218" si="1">IF(H3&lt;1000000, "Small", IF(H3&lt;=10000000, "Medium", "Large"))</f>
        <v>Large</v>
      </c>
      <c r="L3" s="5" t="s">
        <v>224</v>
      </c>
      <c r="M3" s="6" t="s">
        <v>225</v>
      </c>
      <c r="N3" s="5" t="s">
        <v>226</v>
      </c>
      <c r="O3" s="6" t="s">
        <v>227</v>
      </c>
    </row>
    <row r="4" spans="1:15" ht="22.5" customHeight="1" x14ac:dyDescent="0.2">
      <c r="A4" s="1" t="s">
        <v>4</v>
      </c>
      <c r="B4" s="1">
        <v>1608800</v>
      </c>
      <c r="C4" s="1">
        <v>2135479</v>
      </c>
      <c r="D4" s="1">
        <v>2671997</v>
      </c>
      <c r="E4" s="1">
        <v>3286542</v>
      </c>
      <c r="F4" s="1">
        <v>3089027</v>
      </c>
      <c r="G4" s="1">
        <v>2913021</v>
      </c>
      <c r="H4" s="1">
        <v>2528480</v>
      </c>
      <c r="I4" s="2">
        <f t="shared" si="0"/>
        <v>57.165589259075091</v>
      </c>
      <c r="J4" s="1" t="str">
        <f t="shared" si="1"/>
        <v>Medium</v>
      </c>
      <c r="K4" s="1"/>
      <c r="L4" s="7" t="s">
        <v>228</v>
      </c>
      <c r="M4" s="7" t="s">
        <v>229</v>
      </c>
      <c r="N4" s="5" t="s">
        <v>230</v>
      </c>
      <c r="O4" s="7" t="s">
        <v>231</v>
      </c>
    </row>
    <row r="5" spans="1:15" ht="22.5" customHeight="1" x14ac:dyDescent="0.2">
      <c r="A5" s="1" t="s">
        <v>57</v>
      </c>
      <c r="B5" s="1">
        <v>11424922</v>
      </c>
      <c r="C5" s="1">
        <v>13783719</v>
      </c>
      <c r="D5" s="1">
        <v>18607174</v>
      </c>
      <c r="E5" s="1">
        <v>25375810</v>
      </c>
      <c r="F5" s="1">
        <v>30903893</v>
      </c>
      <c r="G5" s="1">
        <v>36188236</v>
      </c>
      <c r="H5" s="1">
        <v>44042091</v>
      </c>
      <c r="I5" s="2">
        <f t="shared" si="0"/>
        <v>285.49139328916209</v>
      </c>
      <c r="J5" s="1" t="str">
        <f t="shared" si="1"/>
        <v>Large</v>
      </c>
      <c r="L5" s="7" t="s">
        <v>232</v>
      </c>
      <c r="M5" s="7" t="s">
        <v>233</v>
      </c>
      <c r="N5" s="7" t="s">
        <v>234</v>
      </c>
      <c r="O5" s="7" t="s">
        <v>235</v>
      </c>
    </row>
    <row r="6" spans="1:15" ht="22.5" customHeight="1" x14ac:dyDescent="0.2">
      <c r="A6" s="1" t="s">
        <v>9</v>
      </c>
      <c r="B6" s="1">
        <v>20133</v>
      </c>
      <c r="C6" s="1">
        <v>27026</v>
      </c>
      <c r="D6" s="1">
        <v>32403</v>
      </c>
      <c r="E6" s="1">
        <v>46640</v>
      </c>
      <c r="F6" s="1">
        <v>56855</v>
      </c>
      <c r="G6" s="1">
        <v>55228</v>
      </c>
      <c r="H6" s="1">
        <v>49761</v>
      </c>
      <c r="I6" s="2">
        <f t="shared" si="0"/>
        <v>147.16137684398748</v>
      </c>
      <c r="J6" s="1" t="str">
        <f t="shared" si="1"/>
        <v>Small</v>
      </c>
      <c r="L6" s="7" t="s">
        <v>236</v>
      </c>
      <c r="M6" s="7" t="s">
        <v>237</v>
      </c>
      <c r="N6" s="7" t="s">
        <v>238</v>
      </c>
      <c r="O6" s="7" t="s">
        <v>239</v>
      </c>
    </row>
    <row r="7" spans="1:15" ht="22.5" customHeight="1" x14ac:dyDescent="0.2">
      <c r="A7" s="1" t="s">
        <v>5</v>
      </c>
      <c r="B7" s="1">
        <v>9510</v>
      </c>
      <c r="C7" s="1">
        <v>19977</v>
      </c>
      <c r="D7" s="1">
        <v>35782</v>
      </c>
      <c r="E7" s="1">
        <v>52597</v>
      </c>
      <c r="F7" s="1">
        <v>65685</v>
      </c>
      <c r="G7" s="1">
        <v>80706</v>
      </c>
      <c r="H7" s="1">
        <v>77380</v>
      </c>
      <c r="I7" s="2">
        <f t="shared" si="0"/>
        <v>713.66982124079914</v>
      </c>
      <c r="J7" s="1" t="str">
        <f t="shared" si="1"/>
        <v>Small</v>
      </c>
      <c r="L7" s="7" t="s">
        <v>240</v>
      </c>
      <c r="M7" s="7" t="s">
        <v>241</v>
      </c>
      <c r="N7" s="7" t="s">
        <v>242</v>
      </c>
      <c r="O7" s="7" t="s">
        <v>243</v>
      </c>
    </row>
    <row r="8" spans="1:15" ht="22.5" customHeight="1" x14ac:dyDescent="0.2">
      <c r="A8" s="1" t="s">
        <v>3</v>
      </c>
      <c r="B8" s="1">
        <v>5231654</v>
      </c>
      <c r="C8" s="1">
        <v>5852788</v>
      </c>
      <c r="D8" s="1">
        <v>8133872</v>
      </c>
      <c r="E8" s="1">
        <v>11626360</v>
      </c>
      <c r="F8" s="1">
        <v>16194869</v>
      </c>
      <c r="G8" s="1">
        <v>23294825</v>
      </c>
      <c r="H8" s="1">
        <v>33451132</v>
      </c>
      <c r="I8" s="2">
        <f t="shared" si="0"/>
        <v>539.39878287057979</v>
      </c>
      <c r="J8" s="1" t="str">
        <f t="shared" si="1"/>
        <v>Large</v>
      </c>
      <c r="L8" s="7" t="s">
        <v>244</v>
      </c>
      <c r="M8" s="8" t="s">
        <v>245</v>
      </c>
      <c r="N8" s="7" t="s">
        <v>246</v>
      </c>
      <c r="O8" s="7" t="s">
        <v>247</v>
      </c>
    </row>
    <row r="9" spans="1:15" ht="22.5" customHeight="1" x14ac:dyDescent="0.2">
      <c r="A9" s="1" t="s">
        <v>10</v>
      </c>
      <c r="B9" s="1">
        <v>55603</v>
      </c>
      <c r="C9" s="1">
        <v>64528</v>
      </c>
      <c r="D9" s="1">
        <v>64513</v>
      </c>
      <c r="E9" s="1">
        <v>63066</v>
      </c>
      <c r="F9" s="1">
        <v>74912</v>
      </c>
      <c r="G9" s="1">
        <v>85320</v>
      </c>
      <c r="H9" s="1">
        <v>91846</v>
      </c>
      <c r="I9" s="2">
        <f t="shared" si="0"/>
        <v>65.181734798482097</v>
      </c>
      <c r="J9" s="1" t="str">
        <f t="shared" si="1"/>
        <v>Small</v>
      </c>
      <c r="L9" s="7" t="s">
        <v>248</v>
      </c>
      <c r="M9" s="7" t="s">
        <v>249</v>
      </c>
      <c r="N9" s="7" t="s">
        <v>250</v>
      </c>
      <c r="O9" s="7" t="s">
        <v>251</v>
      </c>
    </row>
    <row r="10" spans="1:15" ht="22.5" customHeight="1" x14ac:dyDescent="0.2">
      <c r="A10" s="1" t="s">
        <v>7</v>
      </c>
      <c r="B10" s="1">
        <v>20386045</v>
      </c>
      <c r="C10" s="1">
        <v>23878327</v>
      </c>
      <c r="D10" s="1">
        <v>28011596</v>
      </c>
      <c r="E10" s="1">
        <v>32755901</v>
      </c>
      <c r="F10" s="1">
        <v>37213984</v>
      </c>
      <c r="G10" s="1">
        <v>41288694</v>
      </c>
      <c r="H10" s="1">
        <v>45191965</v>
      </c>
      <c r="I10" s="2">
        <f t="shared" si="0"/>
        <v>121.68088513490478</v>
      </c>
      <c r="J10" s="1" t="str">
        <f t="shared" si="1"/>
        <v>Large</v>
      </c>
      <c r="L10" s="7" t="s">
        <v>252</v>
      </c>
      <c r="M10" s="7" t="s">
        <v>253</v>
      </c>
      <c r="N10" s="7" t="s">
        <v>254</v>
      </c>
      <c r="O10" s="7" t="s">
        <v>255</v>
      </c>
    </row>
    <row r="11" spans="1:15" ht="22.5" customHeight="1" x14ac:dyDescent="0.2">
      <c r="A11" s="1" t="s">
        <v>8</v>
      </c>
      <c r="B11" s="1">
        <v>1863705</v>
      </c>
      <c r="C11" s="1">
        <v>2475633</v>
      </c>
      <c r="D11" s="1">
        <v>3107415</v>
      </c>
      <c r="E11" s="1">
        <v>3552128</v>
      </c>
      <c r="F11" s="1">
        <v>3221100</v>
      </c>
      <c r="G11" s="1">
        <v>3044800</v>
      </c>
      <c r="H11" s="1">
        <v>2961500</v>
      </c>
      <c r="I11" s="2">
        <f t="shared" si="0"/>
        <v>58.903903783055803</v>
      </c>
      <c r="J11" s="1" t="str">
        <f t="shared" si="1"/>
        <v>Medium</v>
      </c>
      <c r="L11" s="7" t="s">
        <v>256</v>
      </c>
      <c r="M11" s="7" t="s">
        <v>257</v>
      </c>
      <c r="N11" s="7" t="s">
        <v>258</v>
      </c>
      <c r="O11" s="7" t="s">
        <v>259</v>
      </c>
    </row>
    <row r="12" spans="1:15" ht="12.75" x14ac:dyDescent="0.2">
      <c r="A12" s="1" t="s">
        <v>1</v>
      </c>
      <c r="B12" s="1">
        <v>54922</v>
      </c>
      <c r="C12" s="1">
        <v>58950</v>
      </c>
      <c r="D12" s="1">
        <v>59909</v>
      </c>
      <c r="E12" s="1">
        <v>62753</v>
      </c>
      <c r="F12" s="1">
        <v>90588</v>
      </c>
      <c r="G12" s="1">
        <v>101838</v>
      </c>
      <c r="H12" s="1">
        <v>108587</v>
      </c>
      <c r="I12" s="2">
        <f t="shared" si="0"/>
        <v>97.711299661337904</v>
      </c>
      <c r="J12" s="1" t="str">
        <f t="shared" si="1"/>
        <v>Small</v>
      </c>
    </row>
    <row r="13" spans="1:15" ht="12.75" x14ac:dyDescent="0.2">
      <c r="A13" s="1" t="s">
        <v>11</v>
      </c>
      <c r="B13" s="1">
        <v>10276477</v>
      </c>
      <c r="C13" s="1">
        <v>12507000</v>
      </c>
      <c r="D13" s="1">
        <v>14692000</v>
      </c>
      <c r="E13" s="1">
        <v>17065128</v>
      </c>
      <c r="F13" s="1">
        <v>19028802</v>
      </c>
      <c r="G13" s="1">
        <v>22031750</v>
      </c>
      <c r="H13" s="1">
        <v>25649248</v>
      </c>
      <c r="I13" s="2">
        <f t="shared" si="0"/>
        <v>149.59183969370048</v>
      </c>
      <c r="J13" s="1" t="str">
        <f t="shared" si="1"/>
        <v>Large</v>
      </c>
      <c r="K13" s="1"/>
      <c r="L13" s="9" t="s">
        <v>260</v>
      </c>
      <c r="M13" s="10">
        <f>MAX(H:H)</f>
        <v>1411100000</v>
      </c>
      <c r="N13" s="11" t="s">
        <v>261</v>
      </c>
      <c r="O13" s="12">
        <f>MAX(I:I)</f>
        <v>7659.3668425437372</v>
      </c>
    </row>
    <row r="14" spans="1:15" ht="12.75" x14ac:dyDescent="0.2">
      <c r="A14" s="1" t="s">
        <v>12</v>
      </c>
      <c r="B14" s="1">
        <v>7047539</v>
      </c>
      <c r="C14" s="1">
        <v>7467086</v>
      </c>
      <c r="D14" s="1">
        <v>7549433</v>
      </c>
      <c r="E14" s="1">
        <v>7677850</v>
      </c>
      <c r="F14" s="1">
        <v>8011566</v>
      </c>
      <c r="G14" s="1">
        <v>8363404</v>
      </c>
      <c r="H14" s="1">
        <v>8916864</v>
      </c>
      <c r="I14" s="2">
        <f t="shared" si="0"/>
        <v>26.524507349303068</v>
      </c>
      <c r="J14" s="1" t="str">
        <f t="shared" si="1"/>
        <v>Medium</v>
      </c>
      <c r="K14" s="1"/>
      <c r="L14" s="9" t="s">
        <v>262</v>
      </c>
      <c r="M14" s="13">
        <f>MIN(H3:H218)</f>
        <v>10399</v>
      </c>
      <c r="N14" s="11" t="s">
        <v>263</v>
      </c>
      <c r="O14" s="14">
        <f>MIN(I:I)</f>
        <v>-16.735927388223821</v>
      </c>
    </row>
    <row r="15" spans="1:15" ht="12.75" x14ac:dyDescent="0.2">
      <c r="A15" s="1" t="s">
        <v>13</v>
      </c>
      <c r="B15" s="1">
        <v>3894500</v>
      </c>
      <c r="C15" s="1">
        <v>5172050</v>
      </c>
      <c r="D15" s="1">
        <v>6160500</v>
      </c>
      <c r="E15" s="1">
        <v>7175200</v>
      </c>
      <c r="F15" s="1">
        <v>8048600</v>
      </c>
      <c r="G15" s="1">
        <v>9054332</v>
      </c>
      <c r="H15" s="1">
        <v>10093121</v>
      </c>
      <c r="I15" s="2">
        <f t="shared" si="0"/>
        <v>159.16346129156503</v>
      </c>
      <c r="J15" s="1" t="str">
        <f t="shared" si="1"/>
        <v>Large</v>
      </c>
      <c r="K15" s="1"/>
      <c r="L15" s="9" t="s">
        <v>264</v>
      </c>
      <c r="M15" s="13">
        <f>AVERAGE(H3:H218)</f>
        <v>36543895.004629627</v>
      </c>
      <c r="N15" s="9" t="s">
        <v>265</v>
      </c>
      <c r="O15" s="14">
        <f>AVERAGE(I3:I218)</f>
        <v>303.2470336685729</v>
      </c>
    </row>
    <row r="16" spans="1:15" ht="12.75" x14ac:dyDescent="0.2">
      <c r="A16" s="1" t="s">
        <v>21</v>
      </c>
      <c r="B16" s="1">
        <v>116317</v>
      </c>
      <c r="C16" s="1">
        <v>184982</v>
      </c>
      <c r="D16" s="1">
        <v>232526</v>
      </c>
      <c r="E16" s="1">
        <v>275945</v>
      </c>
      <c r="F16" s="1">
        <v>323835</v>
      </c>
      <c r="G16" s="1">
        <v>367478</v>
      </c>
      <c r="H16" s="1">
        <v>395863</v>
      </c>
      <c r="I16" s="2">
        <f t="shared" si="0"/>
        <v>240.33116397431158</v>
      </c>
      <c r="J16" s="1" t="str">
        <f t="shared" si="1"/>
        <v>Small</v>
      </c>
      <c r="K16" s="1"/>
      <c r="L16" s="9" t="s">
        <v>266</v>
      </c>
      <c r="M16" s="15">
        <f>MEDIAN(H3:H218)</f>
        <v>6557981.5</v>
      </c>
      <c r="N16" s="9" t="s">
        <v>267</v>
      </c>
      <c r="O16" s="16">
        <f>MEDIAN(I4:I218)</f>
        <v>195.27651840460166</v>
      </c>
    </row>
    <row r="17" spans="1:13" ht="12.75" x14ac:dyDescent="0.2">
      <c r="A17" s="1" t="s">
        <v>20</v>
      </c>
      <c r="B17" s="1">
        <v>165477</v>
      </c>
      <c r="C17" s="1">
        <v>224809</v>
      </c>
      <c r="D17" s="1">
        <v>358978</v>
      </c>
      <c r="E17" s="1">
        <v>514797</v>
      </c>
      <c r="F17" s="1">
        <v>637582</v>
      </c>
      <c r="G17" s="1">
        <v>1228543</v>
      </c>
      <c r="H17" s="1">
        <v>1472204</v>
      </c>
      <c r="I17" s="2">
        <f t="shared" si="0"/>
        <v>789.672885053512</v>
      </c>
      <c r="J17" s="1" t="str">
        <f t="shared" si="1"/>
        <v>Medium</v>
      </c>
    </row>
    <row r="18" spans="1:13" ht="12.75" x14ac:dyDescent="0.2">
      <c r="A18" s="1" t="s">
        <v>18</v>
      </c>
      <c r="B18" s="1">
        <v>51828660</v>
      </c>
      <c r="C18" s="1">
        <v>69058894</v>
      </c>
      <c r="D18" s="1">
        <v>88016432</v>
      </c>
      <c r="E18" s="1">
        <v>111633717</v>
      </c>
      <c r="F18" s="1">
        <v>134544304</v>
      </c>
      <c r="G18" s="1">
        <v>152201981</v>
      </c>
      <c r="H18" s="1">
        <v>166298024</v>
      </c>
      <c r="I18" s="2">
        <f t="shared" si="0"/>
        <v>220.86112973015318</v>
      </c>
      <c r="J18" s="1" t="str">
        <f t="shared" si="1"/>
        <v>Large</v>
      </c>
      <c r="L18" s="24" t="s">
        <v>268</v>
      </c>
      <c r="M18" s="25"/>
    </row>
    <row r="19" spans="1:13" ht="12.75" x14ac:dyDescent="0.2">
      <c r="A19" s="1" t="s">
        <v>28</v>
      </c>
      <c r="B19" s="1">
        <v>230893</v>
      </c>
      <c r="C19" s="1">
        <v>249387</v>
      </c>
      <c r="D19" s="1">
        <v>251524</v>
      </c>
      <c r="E19" s="1">
        <v>258582</v>
      </c>
      <c r="F19" s="1">
        <v>262063</v>
      </c>
      <c r="G19" s="1">
        <v>275243</v>
      </c>
      <c r="H19" s="1">
        <v>281698</v>
      </c>
      <c r="I19" s="2">
        <f t="shared" si="0"/>
        <v>22.003698682939717</v>
      </c>
      <c r="J19" s="1" t="str">
        <f t="shared" si="1"/>
        <v>Small</v>
      </c>
      <c r="L19" s="17" t="s">
        <v>269</v>
      </c>
      <c r="M19" s="18">
        <f>(H93+H208+H94+H152+H29+H18+H146+H130+H164)/SUM(H3:H218)</f>
        <v>0.36925820046543695</v>
      </c>
    </row>
    <row r="20" spans="1:13" ht="12.75" x14ac:dyDescent="0.2">
      <c r="A20" s="1" t="s">
        <v>23</v>
      </c>
      <c r="B20" s="1">
        <v>8198000</v>
      </c>
      <c r="C20" s="1">
        <v>9040000</v>
      </c>
      <c r="D20" s="1">
        <v>9643000</v>
      </c>
      <c r="E20" s="1">
        <v>10189348</v>
      </c>
      <c r="F20" s="1">
        <v>9979610</v>
      </c>
      <c r="G20" s="1">
        <v>9483836</v>
      </c>
      <c r="H20" s="1">
        <v>9379952</v>
      </c>
      <c r="I20" s="2">
        <f t="shared" si="0"/>
        <v>14.417565259819467</v>
      </c>
      <c r="J20" s="1" t="str">
        <f t="shared" si="1"/>
        <v>Medium</v>
      </c>
      <c r="L20" s="17" t="s">
        <v>270</v>
      </c>
      <c r="M20" s="18">
        <f>(H140+H152+H167+H185+H79+H214+H174+H133+H117)/SUM(H3:H218)</f>
        <v>2.9814521303026975E-2</v>
      </c>
    </row>
    <row r="21" spans="1:13" ht="12.75" x14ac:dyDescent="0.2">
      <c r="A21" s="1" t="s">
        <v>15</v>
      </c>
      <c r="B21" s="1">
        <v>9153489</v>
      </c>
      <c r="C21" s="1">
        <v>9655549</v>
      </c>
      <c r="D21" s="1">
        <v>9859242</v>
      </c>
      <c r="E21" s="1">
        <v>9967379</v>
      </c>
      <c r="F21" s="1">
        <v>10251250</v>
      </c>
      <c r="G21" s="1">
        <v>10895586</v>
      </c>
      <c r="H21" s="1">
        <v>11538604</v>
      </c>
      <c r="I21" s="2">
        <f t="shared" si="0"/>
        <v>26.056894808089027</v>
      </c>
      <c r="J21" s="1" t="str">
        <f t="shared" si="1"/>
        <v>Large</v>
      </c>
    </row>
    <row r="22" spans="1:13" ht="12.75" x14ac:dyDescent="0.2">
      <c r="A22" s="1" t="s">
        <v>24</v>
      </c>
      <c r="B22" s="1">
        <v>91318</v>
      </c>
      <c r="C22" s="1">
        <v>120736</v>
      </c>
      <c r="D22" s="1">
        <v>145062</v>
      </c>
      <c r="E22" s="1">
        <v>183076</v>
      </c>
      <c r="F22" s="1">
        <v>240799</v>
      </c>
      <c r="G22" s="1">
        <v>320245</v>
      </c>
      <c r="H22" s="1">
        <v>390812</v>
      </c>
      <c r="I22" s="2">
        <f t="shared" si="0"/>
        <v>327.96819904071486</v>
      </c>
      <c r="J22" s="1" t="str">
        <f t="shared" si="1"/>
        <v>Small</v>
      </c>
    </row>
    <row r="23" spans="1:13" ht="12.75" x14ac:dyDescent="0.2">
      <c r="A23" s="1" t="s">
        <v>16</v>
      </c>
      <c r="B23" s="1">
        <v>2517286</v>
      </c>
      <c r="C23" s="1">
        <v>3065057</v>
      </c>
      <c r="D23" s="1">
        <v>3925251</v>
      </c>
      <c r="E23" s="1">
        <v>5281479</v>
      </c>
      <c r="F23" s="1">
        <v>7221619</v>
      </c>
      <c r="G23" s="1">
        <v>9797484</v>
      </c>
      <c r="H23" s="1">
        <v>13070169</v>
      </c>
      <c r="I23" s="2">
        <f t="shared" si="0"/>
        <v>419.21668813158294</v>
      </c>
      <c r="J23" s="1" t="str">
        <f t="shared" si="1"/>
        <v>Large</v>
      </c>
    </row>
    <row r="24" spans="1:13" ht="12.75" x14ac:dyDescent="0.2">
      <c r="A24" s="1" t="s">
        <v>25</v>
      </c>
      <c r="B24" s="1">
        <v>42208</v>
      </c>
      <c r="C24" s="1">
        <v>52124</v>
      </c>
      <c r="D24" s="1">
        <v>53673</v>
      </c>
      <c r="E24" s="1">
        <v>57559</v>
      </c>
      <c r="F24" s="1">
        <v>61550</v>
      </c>
      <c r="G24" s="1">
        <v>63725</v>
      </c>
      <c r="H24" s="1">
        <v>64382</v>
      </c>
      <c r="I24" s="2">
        <f t="shared" si="0"/>
        <v>52.535064442759669</v>
      </c>
      <c r="J24" s="1" t="str">
        <f t="shared" si="1"/>
        <v>Small</v>
      </c>
    </row>
    <row r="25" spans="1:13" ht="12.75" x14ac:dyDescent="0.2">
      <c r="A25" s="1" t="s">
        <v>30</v>
      </c>
      <c r="B25" s="1">
        <v>224084</v>
      </c>
      <c r="C25" s="1">
        <v>308528</v>
      </c>
      <c r="D25" s="1">
        <v>433404</v>
      </c>
      <c r="E25" s="1">
        <v>589287</v>
      </c>
      <c r="F25" s="1">
        <v>596863</v>
      </c>
      <c r="G25" s="1">
        <v>701632</v>
      </c>
      <c r="H25" s="1">
        <v>770006</v>
      </c>
      <c r="I25" s="2">
        <f t="shared" si="0"/>
        <v>243.62381963906392</v>
      </c>
      <c r="J25" s="1" t="str">
        <f t="shared" si="1"/>
        <v>Small</v>
      </c>
    </row>
    <row r="26" spans="1:13" ht="12.75" x14ac:dyDescent="0.2">
      <c r="A26" s="1" t="s">
        <v>26</v>
      </c>
      <c r="B26" s="1">
        <v>3702323</v>
      </c>
      <c r="C26" s="1">
        <v>4590010</v>
      </c>
      <c r="D26" s="1">
        <v>5758900</v>
      </c>
      <c r="E26" s="1">
        <v>7130142</v>
      </c>
      <c r="F26" s="1">
        <v>8606326</v>
      </c>
      <c r="G26" s="1">
        <v>10182345</v>
      </c>
      <c r="H26" s="1">
        <v>11816299</v>
      </c>
      <c r="I26" s="2">
        <f t="shared" si="0"/>
        <v>219.15905230310807</v>
      </c>
      <c r="J26" s="1" t="str">
        <f t="shared" si="1"/>
        <v>Large</v>
      </c>
    </row>
    <row r="27" spans="1:13" ht="12.75" x14ac:dyDescent="0.2">
      <c r="A27" s="1" t="s">
        <v>22</v>
      </c>
      <c r="B27" s="1">
        <v>3281381</v>
      </c>
      <c r="C27" s="1">
        <v>3773247</v>
      </c>
      <c r="D27" s="1">
        <v>4148426</v>
      </c>
      <c r="E27" s="1">
        <v>4448652</v>
      </c>
      <c r="F27" s="1">
        <v>4159771</v>
      </c>
      <c r="G27" s="1">
        <v>3811472</v>
      </c>
      <c r="H27" s="1">
        <v>3299349</v>
      </c>
      <c r="I27" s="2">
        <f t="shared" si="0"/>
        <v>0.54757432922297045</v>
      </c>
      <c r="J27" s="1" t="str">
        <f t="shared" si="1"/>
        <v>Medium</v>
      </c>
    </row>
    <row r="28" spans="1:13" ht="12.75" x14ac:dyDescent="0.2">
      <c r="A28" s="1" t="s">
        <v>31</v>
      </c>
      <c r="B28" s="1">
        <v>516165</v>
      </c>
      <c r="C28" s="1">
        <v>590334</v>
      </c>
      <c r="D28" s="1">
        <v>937485</v>
      </c>
      <c r="E28" s="1">
        <v>1305696</v>
      </c>
      <c r="F28" s="1">
        <v>1677382</v>
      </c>
      <c r="G28" s="1">
        <v>2033111</v>
      </c>
      <c r="H28" s="1">
        <v>2365894</v>
      </c>
      <c r="I28" s="2">
        <f t="shared" si="0"/>
        <v>358.36002053606887</v>
      </c>
      <c r="J28" s="1" t="str">
        <f t="shared" si="1"/>
        <v>Medium</v>
      </c>
    </row>
    <row r="29" spans="1:13" ht="12.75" x14ac:dyDescent="0.2">
      <c r="A29" s="1" t="s">
        <v>27</v>
      </c>
      <c r="B29" s="1">
        <v>72388126</v>
      </c>
      <c r="C29" s="1">
        <v>95375651</v>
      </c>
      <c r="D29" s="1">
        <v>121207461</v>
      </c>
      <c r="E29" s="1">
        <v>149143223</v>
      </c>
      <c r="F29" s="1">
        <v>174018282</v>
      </c>
      <c r="G29" s="1">
        <v>193701929</v>
      </c>
      <c r="H29" s="1">
        <v>208660842</v>
      </c>
      <c r="I29" s="2">
        <f t="shared" si="0"/>
        <v>188.25285793418661</v>
      </c>
      <c r="J29" s="1" t="str">
        <f t="shared" si="1"/>
        <v>Large</v>
      </c>
    </row>
    <row r="30" spans="1:13" ht="12.75" x14ac:dyDescent="0.2">
      <c r="A30" s="1" t="s">
        <v>207</v>
      </c>
      <c r="B30" s="1">
        <v>7950</v>
      </c>
      <c r="C30" s="1">
        <v>9933</v>
      </c>
      <c r="D30" s="1">
        <v>11130</v>
      </c>
      <c r="E30" s="1">
        <v>15704</v>
      </c>
      <c r="F30" s="1">
        <v>20241</v>
      </c>
      <c r="G30" s="1">
        <v>27675</v>
      </c>
      <c r="H30" s="1">
        <v>37135</v>
      </c>
      <c r="I30" s="2">
        <f t="shared" si="0"/>
        <v>367.10691823899373</v>
      </c>
      <c r="J30" s="1" t="str">
        <f t="shared" si="1"/>
        <v>Small</v>
      </c>
    </row>
    <row r="31" spans="1:13" ht="12.75" x14ac:dyDescent="0.2">
      <c r="A31" s="1" t="s">
        <v>29</v>
      </c>
      <c r="B31" s="1">
        <v>88347</v>
      </c>
      <c r="C31" s="1">
        <v>135138</v>
      </c>
      <c r="D31" s="1">
        <v>186111</v>
      </c>
      <c r="E31" s="1">
        <v>255292</v>
      </c>
      <c r="F31" s="1">
        <v>326424</v>
      </c>
      <c r="G31" s="1">
        <v>392332</v>
      </c>
      <c r="H31" s="1">
        <v>447404</v>
      </c>
      <c r="I31" s="2">
        <f t="shared" si="0"/>
        <v>406.41674306994008</v>
      </c>
      <c r="J31" s="1" t="str">
        <f t="shared" si="1"/>
        <v>Small</v>
      </c>
    </row>
    <row r="32" spans="1:13" ht="12.75" x14ac:dyDescent="0.2">
      <c r="A32" s="1" t="s">
        <v>19</v>
      </c>
      <c r="B32" s="1">
        <v>7867374</v>
      </c>
      <c r="C32" s="1">
        <v>8489574</v>
      </c>
      <c r="D32" s="1">
        <v>8861535</v>
      </c>
      <c r="E32" s="1">
        <v>8718289</v>
      </c>
      <c r="F32" s="1">
        <v>8170172</v>
      </c>
      <c r="G32" s="1">
        <v>7395599</v>
      </c>
      <c r="H32" s="1">
        <v>6550696</v>
      </c>
      <c r="I32" s="2">
        <f t="shared" si="0"/>
        <v>-16.735927388223821</v>
      </c>
      <c r="J32" s="1" t="str">
        <f t="shared" si="1"/>
        <v>Medium</v>
      </c>
    </row>
    <row r="33" spans="1:10" ht="12.75" x14ac:dyDescent="0.2">
      <c r="A33" s="1" t="s">
        <v>17</v>
      </c>
      <c r="B33" s="1">
        <v>4778621</v>
      </c>
      <c r="C33" s="1">
        <v>5610304</v>
      </c>
      <c r="D33" s="1">
        <v>6947900</v>
      </c>
      <c r="E33" s="1">
        <v>9159356</v>
      </c>
      <c r="F33" s="1">
        <v>11925546</v>
      </c>
      <c r="G33" s="1">
        <v>16176498</v>
      </c>
      <c r="H33" s="1">
        <v>21478690</v>
      </c>
      <c r="I33" s="2">
        <f t="shared" si="0"/>
        <v>349.47464969496428</v>
      </c>
      <c r="J33" s="1" t="str">
        <f t="shared" si="1"/>
        <v>Large</v>
      </c>
    </row>
    <row r="34" spans="1:10" ht="12.75" x14ac:dyDescent="0.2">
      <c r="A34" s="1" t="s">
        <v>14</v>
      </c>
      <c r="B34" s="1">
        <v>2764258</v>
      </c>
      <c r="C34" s="1">
        <v>3530432</v>
      </c>
      <c r="D34" s="1">
        <v>4383706</v>
      </c>
      <c r="E34" s="1">
        <v>5587052</v>
      </c>
      <c r="F34" s="1">
        <v>6470194</v>
      </c>
      <c r="G34" s="1">
        <v>9376444</v>
      </c>
      <c r="H34" s="1">
        <v>12617036</v>
      </c>
      <c r="I34" s="2">
        <f t="shared" si="0"/>
        <v>356.43481903642862</v>
      </c>
      <c r="J34" s="1" t="str">
        <f t="shared" si="1"/>
        <v>Large</v>
      </c>
    </row>
    <row r="35" spans="1:10" ht="12.75" x14ac:dyDescent="0.2">
      <c r="A35" s="1" t="s">
        <v>45</v>
      </c>
      <c r="B35" s="1">
        <v>210024</v>
      </c>
      <c r="C35" s="1">
        <v>287885</v>
      </c>
      <c r="D35" s="1">
        <v>323301</v>
      </c>
      <c r="E35" s="1">
        <v>375428</v>
      </c>
      <c r="F35" s="1">
        <v>453317</v>
      </c>
      <c r="G35" s="1">
        <v>509784</v>
      </c>
      <c r="H35" s="1">
        <v>514679</v>
      </c>
      <c r="I35" s="2">
        <f t="shared" si="0"/>
        <v>145.05723155448902</v>
      </c>
      <c r="J35" s="1" t="str">
        <f t="shared" si="1"/>
        <v>Small</v>
      </c>
    </row>
    <row r="36" spans="1:10" ht="12.75" x14ac:dyDescent="0.2">
      <c r="A36" s="1" t="s">
        <v>104</v>
      </c>
      <c r="B36" s="1">
        <v>5449966</v>
      </c>
      <c r="C36" s="1">
        <v>6639182</v>
      </c>
      <c r="D36" s="1">
        <v>5199872</v>
      </c>
      <c r="E36" s="1">
        <v>7374752</v>
      </c>
      <c r="F36" s="1">
        <v>12462336</v>
      </c>
      <c r="G36" s="1">
        <v>14500726</v>
      </c>
      <c r="H36" s="1">
        <v>16725474</v>
      </c>
      <c r="I36" s="2">
        <f t="shared" si="0"/>
        <v>206.89134574417528</v>
      </c>
      <c r="J36" s="1" t="str">
        <f t="shared" si="1"/>
        <v>Large</v>
      </c>
    </row>
    <row r="37" spans="1:10" ht="12.75" x14ac:dyDescent="0.2">
      <c r="A37" s="1" t="s">
        <v>40</v>
      </c>
      <c r="B37" s="1">
        <v>5159057</v>
      </c>
      <c r="C37" s="1">
        <v>6449793</v>
      </c>
      <c r="D37" s="1">
        <v>8512219</v>
      </c>
      <c r="E37" s="1">
        <v>11331821</v>
      </c>
      <c r="F37" s="1">
        <v>14912631</v>
      </c>
      <c r="G37" s="1">
        <v>19668066</v>
      </c>
      <c r="H37" s="1">
        <v>26210558</v>
      </c>
      <c r="I37" s="2">
        <f t="shared" si="0"/>
        <v>408.04939739956347</v>
      </c>
      <c r="J37" s="1" t="str">
        <f t="shared" si="1"/>
        <v>Large</v>
      </c>
    </row>
    <row r="38" spans="1:10" ht="12.75" x14ac:dyDescent="0.2">
      <c r="A38" s="1" t="s">
        <v>33</v>
      </c>
      <c r="B38" s="1">
        <v>17909356</v>
      </c>
      <c r="C38" s="1">
        <v>21324000</v>
      </c>
      <c r="D38" s="1">
        <v>24515667</v>
      </c>
      <c r="E38" s="1">
        <v>27691138</v>
      </c>
      <c r="F38" s="1">
        <v>30685730</v>
      </c>
      <c r="G38" s="1">
        <v>34005902</v>
      </c>
      <c r="H38" s="1">
        <v>38028638</v>
      </c>
      <c r="I38" s="2">
        <f t="shared" si="0"/>
        <v>112.33950567513426</v>
      </c>
      <c r="J38" s="1" t="str">
        <f t="shared" si="1"/>
        <v>Large</v>
      </c>
    </row>
    <row r="39" spans="1:10" ht="12.75" x14ac:dyDescent="0.2">
      <c r="A39" s="1" t="s">
        <v>49</v>
      </c>
      <c r="B39" s="1">
        <v>8428</v>
      </c>
      <c r="C39" s="1">
        <v>10517</v>
      </c>
      <c r="D39" s="1">
        <v>17079</v>
      </c>
      <c r="E39" s="1">
        <v>25999</v>
      </c>
      <c r="F39" s="1">
        <v>39674</v>
      </c>
      <c r="G39" s="1">
        <v>54099</v>
      </c>
      <c r="H39" s="1">
        <v>68684</v>
      </c>
      <c r="I39" s="2">
        <f t="shared" si="0"/>
        <v>714.95016611295682</v>
      </c>
      <c r="J39" s="1" t="str">
        <f t="shared" si="1"/>
        <v>Small</v>
      </c>
    </row>
    <row r="40" spans="1:10" ht="12.75" x14ac:dyDescent="0.2">
      <c r="A40" s="1" t="s">
        <v>32</v>
      </c>
      <c r="B40" s="1">
        <v>1702346</v>
      </c>
      <c r="C40" s="1">
        <v>2097505</v>
      </c>
      <c r="D40" s="1">
        <v>2450535</v>
      </c>
      <c r="E40" s="1">
        <v>2871910</v>
      </c>
      <c r="F40" s="1">
        <v>3833416</v>
      </c>
      <c r="G40" s="1">
        <v>4492995</v>
      </c>
      <c r="H40" s="1">
        <v>5026628</v>
      </c>
      <c r="I40" s="2">
        <f t="shared" si="0"/>
        <v>195.27651840460166</v>
      </c>
      <c r="J40" s="1" t="str">
        <f t="shared" si="1"/>
        <v>Medium</v>
      </c>
    </row>
    <row r="41" spans="1:10" ht="12.75" x14ac:dyDescent="0.2">
      <c r="A41" s="1" t="s">
        <v>34</v>
      </c>
      <c r="B41" s="1">
        <v>91401309</v>
      </c>
      <c r="C41" s="1">
        <v>99134548</v>
      </c>
      <c r="D41" s="1">
        <v>106541316</v>
      </c>
      <c r="E41" s="1">
        <v>110743128</v>
      </c>
      <c r="F41" s="1">
        <v>108447824</v>
      </c>
      <c r="G41" s="1">
        <v>104421447</v>
      </c>
      <c r="H41" s="1">
        <v>101215763</v>
      </c>
      <c r="I41" s="2">
        <f t="shared" si="0"/>
        <v>10.737760878238625</v>
      </c>
      <c r="J41" s="1" t="str">
        <f t="shared" si="1"/>
        <v>Large</v>
      </c>
    </row>
    <row r="42" spans="1:10" ht="12.75" x14ac:dyDescent="0.2">
      <c r="A42" s="1" t="s">
        <v>188</v>
      </c>
      <c r="B42" s="1">
        <v>3049838</v>
      </c>
      <c r="C42" s="1">
        <v>3727828</v>
      </c>
      <c r="D42" s="1">
        <v>4515453</v>
      </c>
      <c r="E42" s="1">
        <v>5982833</v>
      </c>
      <c r="F42" s="1">
        <v>8512093</v>
      </c>
      <c r="G42" s="1">
        <v>12312575</v>
      </c>
      <c r="H42" s="1">
        <v>17224679</v>
      </c>
      <c r="I42" s="2">
        <f t="shared" si="0"/>
        <v>464.77357157986756</v>
      </c>
      <c r="J42" s="1" t="str">
        <f t="shared" si="1"/>
        <v>Large</v>
      </c>
    </row>
    <row r="43" spans="1:10" ht="12.75" x14ac:dyDescent="0.2">
      <c r="A43" s="1" t="s">
        <v>36</v>
      </c>
      <c r="B43" s="1">
        <v>110808</v>
      </c>
      <c r="C43" s="1">
        <v>123288</v>
      </c>
      <c r="D43" s="1">
        <v>130462</v>
      </c>
      <c r="E43" s="1">
        <v>143087</v>
      </c>
      <c r="F43" s="1">
        <v>148110</v>
      </c>
      <c r="G43" s="1">
        <v>158621</v>
      </c>
      <c r="H43" s="1">
        <v>166235</v>
      </c>
      <c r="I43" s="2">
        <f t="shared" si="0"/>
        <v>50.020756624070458</v>
      </c>
      <c r="J43" s="1" t="str">
        <f t="shared" si="1"/>
        <v>Small</v>
      </c>
    </row>
    <row r="44" spans="1:10" ht="12.75" x14ac:dyDescent="0.2">
      <c r="A44" s="1" t="s">
        <v>37</v>
      </c>
      <c r="B44" s="1">
        <v>8153350</v>
      </c>
      <c r="C44" s="1">
        <v>9845344</v>
      </c>
      <c r="D44" s="1">
        <v>11508550</v>
      </c>
      <c r="E44" s="1">
        <v>13437176</v>
      </c>
      <c r="F44" s="1">
        <v>15503635</v>
      </c>
      <c r="G44" s="1">
        <v>17181464</v>
      </c>
      <c r="H44" s="1">
        <v>19370624</v>
      </c>
      <c r="I44" s="2">
        <f t="shared" si="0"/>
        <v>137.57871304433147</v>
      </c>
      <c r="J44" s="1" t="str">
        <f t="shared" si="1"/>
        <v>Large</v>
      </c>
    </row>
    <row r="45" spans="1:10" ht="12.75" x14ac:dyDescent="0.2">
      <c r="A45" s="1" t="s">
        <v>38</v>
      </c>
      <c r="B45" s="1">
        <v>667070000</v>
      </c>
      <c r="C45" s="1">
        <v>818315000</v>
      </c>
      <c r="D45" s="1">
        <v>981235000</v>
      </c>
      <c r="E45" s="1">
        <v>1135185000</v>
      </c>
      <c r="F45" s="1">
        <v>1262645000</v>
      </c>
      <c r="G45" s="1">
        <v>1337705000</v>
      </c>
      <c r="H45" s="1">
        <v>1411100000</v>
      </c>
      <c r="I45" s="2">
        <f t="shared" si="0"/>
        <v>111.53702010283779</v>
      </c>
      <c r="J45" s="1" t="str">
        <f t="shared" si="1"/>
        <v>Large</v>
      </c>
    </row>
    <row r="46" spans="1:10" ht="12.75" x14ac:dyDescent="0.2">
      <c r="A46" s="1" t="s">
        <v>43</v>
      </c>
      <c r="B46" s="1">
        <v>15606209</v>
      </c>
      <c r="C46" s="1">
        <v>20811782</v>
      </c>
      <c r="D46" s="1">
        <v>26104498</v>
      </c>
      <c r="E46" s="1">
        <v>32440069</v>
      </c>
      <c r="F46" s="1">
        <v>39089934</v>
      </c>
      <c r="G46" s="1">
        <v>44777319</v>
      </c>
      <c r="H46" s="1">
        <v>50629997</v>
      </c>
      <c r="I46" s="2">
        <f t="shared" si="0"/>
        <v>224.4221386500719</v>
      </c>
      <c r="J46" s="1" t="str">
        <f t="shared" si="1"/>
        <v>Large</v>
      </c>
    </row>
    <row r="47" spans="1:10" ht="12.75" x14ac:dyDescent="0.2">
      <c r="A47" s="1" t="s">
        <v>44</v>
      </c>
      <c r="B47" s="1">
        <v>197700</v>
      </c>
      <c r="C47" s="1">
        <v>244185</v>
      </c>
      <c r="D47" s="1">
        <v>337721</v>
      </c>
      <c r="E47" s="1">
        <v>444596</v>
      </c>
      <c r="F47" s="1">
        <v>536080</v>
      </c>
      <c r="G47" s="1">
        <v>654836</v>
      </c>
      <c r="H47" s="1">
        <v>802163</v>
      </c>
      <c r="I47" s="2">
        <f t="shared" si="0"/>
        <v>305.74759736975216</v>
      </c>
      <c r="J47" s="1" t="str">
        <f t="shared" si="1"/>
        <v>Small</v>
      </c>
    </row>
    <row r="48" spans="1:10" ht="12.75" x14ac:dyDescent="0.2">
      <c r="A48" s="1" t="s">
        <v>41</v>
      </c>
      <c r="B48" s="1">
        <v>15264846</v>
      </c>
      <c r="C48" s="1">
        <v>20137436</v>
      </c>
      <c r="D48" s="1">
        <v>26711099</v>
      </c>
      <c r="E48" s="1">
        <v>36684063</v>
      </c>
      <c r="F48" s="1">
        <v>50507442</v>
      </c>
      <c r="G48" s="1">
        <v>68563038</v>
      </c>
      <c r="H48" s="1">
        <v>95989998</v>
      </c>
      <c r="I48" s="2">
        <f t="shared" si="0"/>
        <v>528.83043825008122</v>
      </c>
      <c r="J48" s="1" t="str">
        <f t="shared" si="1"/>
        <v>Large</v>
      </c>
    </row>
    <row r="49" spans="1:10" ht="12.75" x14ac:dyDescent="0.2">
      <c r="A49" s="1" t="s">
        <v>42</v>
      </c>
      <c r="B49" s="1">
        <v>1056732</v>
      </c>
      <c r="C49" s="1">
        <v>1397638</v>
      </c>
      <c r="D49" s="1">
        <v>1828985</v>
      </c>
      <c r="E49" s="1">
        <v>2380560</v>
      </c>
      <c r="F49" s="1">
        <v>3151345</v>
      </c>
      <c r="G49" s="1">
        <v>4462290</v>
      </c>
      <c r="H49" s="1">
        <v>5752791</v>
      </c>
      <c r="I49" s="2">
        <f t="shared" si="0"/>
        <v>444.3945106233179</v>
      </c>
      <c r="J49" s="1" t="str">
        <f t="shared" si="1"/>
        <v>Medium</v>
      </c>
    </row>
    <row r="50" spans="1:10" ht="12.75" x14ac:dyDescent="0.2">
      <c r="A50" s="1" t="s">
        <v>46</v>
      </c>
      <c r="B50" s="1">
        <v>1327496</v>
      </c>
      <c r="C50" s="1">
        <v>1838949</v>
      </c>
      <c r="D50" s="1">
        <v>2390633</v>
      </c>
      <c r="E50" s="1">
        <v>3121706</v>
      </c>
      <c r="F50" s="1">
        <v>3937739</v>
      </c>
      <c r="G50" s="1">
        <v>4555962</v>
      </c>
      <c r="H50" s="1">
        <v>5034320</v>
      </c>
      <c r="I50" s="2">
        <f t="shared" si="0"/>
        <v>279.23428771160138</v>
      </c>
      <c r="J50" s="1" t="str">
        <f t="shared" si="1"/>
        <v>Medium</v>
      </c>
    </row>
    <row r="51" spans="1:10" ht="12.75" x14ac:dyDescent="0.2">
      <c r="A51" s="1" t="s">
        <v>39</v>
      </c>
      <c r="B51" s="1">
        <v>3673666</v>
      </c>
      <c r="C51" s="1">
        <v>5411567</v>
      </c>
      <c r="D51" s="1">
        <v>8220714</v>
      </c>
      <c r="E51" s="1">
        <v>12189778</v>
      </c>
      <c r="F51" s="1">
        <v>17699004</v>
      </c>
      <c r="G51" s="1">
        <v>22488065</v>
      </c>
      <c r="H51" s="1">
        <v>28915449</v>
      </c>
      <c r="I51" s="2">
        <f t="shared" si="0"/>
        <v>687.1006509573815</v>
      </c>
      <c r="J51" s="1" t="str">
        <f t="shared" si="1"/>
        <v>Large</v>
      </c>
    </row>
    <row r="52" spans="1:10" ht="12.75" x14ac:dyDescent="0.2">
      <c r="A52" s="1" t="s">
        <v>86</v>
      </c>
      <c r="B52" s="1">
        <v>4140181</v>
      </c>
      <c r="C52" s="1">
        <v>4412252</v>
      </c>
      <c r="D52" s="1">
        <v>4599782</v>
      </c>
      <c r="E52" s="1">
        <v>4777368</v>
      </c>
      <c r="F52" s="1">
        <v>4468302</v>
      </c>
      <c r="G52" s="1">
        <v>4295427</v>
      </c>
      <c r="H52" s="1">
        <v>3914206</v>
      </c>
      <c r="I52" s="2">
        <f t="shared" si="0"/>
        <v>-5.4580947064874703</v>
      </c>
      <c r="J52" s="1" t="str">
        <f t="shared" si="1"/>
        <v>Medium</v>
      </c>
    </row>
    <row r="53" spans="1:10" ht="12.75" x14ac:dyDescent="0.2">
      <c r="A53" s="1" t="s">
        <v>47</v>
      </c>
      <c r="B53" s="1">
        <v>7238081</v>
      </c>
      <c r="C53" s="1">
        <v>8824382</v>
      </c>
      <c r="D53" s="1">
        <v>9804796</v>
      </c>
      <c r="E53" s="1">
        <v>10631799</v>
      </c>
      <c r="F53" s="1">
        <v>11109109</v>
      </c>
      <c r="G53" s="1">
        <v>11297409</v>
      </c>
      <c r="H53" s="1">
        <v>11176354</v>
      </c>
      <c r="I53" s="2">
        <f t="shared" si="0"/>
        <v>54.41045768899243</v>
      </c>
      <c r="J53" s="1" t="str">
        <f t="shared" si="1"/>
        <v>Large</v>
      </c>
    </row>
    <row r="54" spans="1:10" ht="12.75" x14ac:dyDescent="0.2">
      <c r="A54" s="1" t="s">
        <v>48</v>
      </c>
      <c r="B54" s="1">
        <v>124826</v>
      </c>
      <c r="C54" s="1">
        <v>144739</v>
      </c>
      <c r="D54" s="1">
        <v>148041</v>
      </c>
      <c r="E54" s="1">
        <v>145400</v>
      </c>
      <c r="F54" s="1">
        <v>133860</v>
      </c>
      <c r="G54" s="1">
        <v>148703</v>
      </c>
      <c r="H54" s="1">
        <v>155482</v>
      </c>
      <c r="I54" s="2">
        <f t="shared" si="0"/>
        <v>24.558986108663259</v>
      </c>
      <c r="J54" s="1" t="str">
        <f t="shared" si="1"/>
        <v>Small</v>
      </c>
    </row>
    <row r="55" spans="1:10" ht="12.75" x14ac:dyDescent="0.2">
      <c r="A55" s="1" t="s">
        <v>50</v>
      </c>
      <c r="B55" s="1">
        <v>586490</v>
      </c>
      <c r="C55" s="1">
        <v>647446</v>
      </c>
      <c r="D55" s="1">
        <v>683076</v>
      </c>
      <c r="E55" s="1">
        <v>788351</v>
      </c>
      <c r="F55" s="1">
        <v>947667</v>
      </c>
      <c r="G55" s="1">
        <v>1127816</v>
      </c>
      <c r="H55" s="1">
        <v>1302247</v>
      </c>
      <c r="I55" s="2">
        <f t="shared" si="0"/>
        <v>122.04078500912206</v>
      </c>
      <c r="J55" s="1" t="str">
        <f t="shared" si="1"/>
        <v>Medium</v>
      </c>
    </row>
    <row r="56" spans="1:10" ht="12.75" x14ac:dyDescent="0.2">
      <c r="A56" s="1" t="s">
        <v>51</v>
      </c>
      <c r="B56" s="1">
        <v>9602006</v>
      </c>
      <c r="C56" s="1">
        <v>9858071</v>
      </c>
      <c r="D56" s="1">
        <v>10304193</v>
      </c>
      <c r="E56" s="1">
        <v>10333355</v>
      </c>
      <c r="F56" s="1">
        <v>10255063</v>
      </c>
      <c r="G56" s="1">
        <v>10474410</v>
      </c>
      <c r="H56" s="1">
        <v>10697858</v>
      </c>
      <c r="I56" s="2">
        <f t="shared" si="0"/>
        <v>11.41274021282636</v>
      </c>
      <c r="J56" s="1" t="str">
        <f t="shared" si="1"/>
        <v>Large</v>
      </c>
    </row>
    <row r="57" spans="1:10" ht="12.75" x14ac:dyDescent="0.2">
      <c r="A57" s="1" t="s">
        <v>55</v>
      </c>
      <c r="B57" s="1">
        <v>4579603</v>
      </c>
      <c r="C57" s="1">
        <v>4928757</v>
      </c>
      <c r="D57" s="1">
        <v>5123027</v>
      </c>
      <c r="E57" s="1">
        <v>5140939</v>
      </c>
      <c r="F57" s="1">
        <v>5339616</v>
      </c>
      <c r="G57" s="1">
        <v>5547683</v>
      </c>
      <c r="H57" s="1">
        <v>5831404</v>
      </c>
      <c r="I57" s="2">
        <f t="shared" si="0"/>
        <v>27.334268931171547</v>
      </c>
      <c r="J57" s="1" t="str">
        <f t="shared" si="1"/>
        <v>Medium</v>
      </c>
    </row>
    <row r="58" spans="1:10" ht="12.75" x14ac:dyDescent="0.2">
      <c r="A58" s="1" t="s">
        <v>53</v>
      </c>
      <c r="B58" s="1">
        <v>86024</v>
      </c>
      <c r="C58" s="1">
        <v>145175</v>
      </c>
      <c r="D58" s="1">
        <v>325815</v>
      </c>
      <c r="E58" s="1">
        <v>579538</v>
      </c>
      <c r="F58" s="1">
        <v>747318</v>
      </c>
      <c r="G58" s="1">
        <v>930251</v>
      </c>
      <c r="H58" s="1">
        <v>1105188</v>
      </c>
      <c r="I58" s="2">
        <f t="shared" si="0"/>
        <v>1184.7437924300195</v>
      </c>
      <c r="J58" s="1" t="str">
        <f t="shared" si="1"/>
        <v>Medium</v>
      </c>
    </row>
    <row r="59" spans="1:10" ht="12.75" x14ac:dyDescent="0.2">
      <c r="A59" s="1" t="s">
        <v>54</v>
      </c>
      <c r="B59" s="1">
        <v>59372</v>
      </c>
      <c r="C59" s="1">
        <v>68908</v>
      </c>
      <c r="D59" s="1">
        <v>73083</v>
      </c>
      <c r="E59" s="1">
        <v>69627</v>
      </c>
      <c r="F59" s="1">
        <v>68511</v>
      </c>
      <c r="G59" s="1">
        <v>68859</v>
      </c>
      <c r="H59" s="1">
        <v>67573</v>
      </c>
      <c r="I59" s="2">
        <f t="shared" si="0"/>
        <v>13.812908441689686</v>
      </c>
      <c r="J59" s="1" t="str">
        <f t="shared" si="1"/>
        <v>Small</v>
      </c>
    </row>
    <row r="60" spans="1:10" ht="12.75" x14ac:dyDescent="0.2">
      <c r="A60" s="1" t="s">
        <v>56</v>
      </c>
      <c r="B60" s="1">
        <v>3268336</v>
      </c>
      <c r="C60" s="1">
        <v>4399290</v>
      </c>
      <c r="D60" s="1">
        <v>5729037</v>
      </c>
      <c r="E60" s="1">
        <v>7151166</v>
      </c>
      <c r="F60" s="1">
        <v>8584190</v>
      </c>
      <c r="G60" s="1">
        <v>9820175</v>
      </c>
      <c r="H60" s="1">
        <v>11008300</v>
      </c>
      <c r="I60" s="2">
        <f t="shared" si="0"/>
        <v>236.81665532552344</v>
      </c>
      <c r="J60" s="1" t="str">
        <f t="shared" si="1"/>
        <v>Large</v>
      </c>
    </row>
    <row r="61" spans="1:10" ht="12.75" x14ac:dyDescent="0.2">
      <c r="A61" s="1" t="s">
        <v>58</v>
      </c>
      <c r="B61" s="1">
        <v>4590891</v>
      </c>
      <c r="C61" s="1">
        <v>6155387</v>
      </c>
      <c r="D61" s="1">
        <v>8165877</v>
      </c>
      <c r="E61" s="1">
        <v>10473673</v>
      </c>
      <c r="F61" s="1">
        <v>12689206</v>
      </c>
      <c r="G61" s="1">
        <v>15076695</v>
      </c>
      <c r="H61" s="1">
        <v>17546065</v>
      </c>
      <c r="I61" s="2">
        <f t="shared" si="0"/>
        <v>282.1930209190329</v>
      </c>
      <c r="J61" s="1" t="str">
        <f t="shared" si="1"/>
        <v>Large</v>
      </c>
    </row>
    <row r="62" spans="1:10" ht="12.75" x14ac:dyDescent="0.2">
      <c r="A62" s="1" t="s">
        <v>59</v>
      </c>
      <c r="B62" s="1">
        <v>26896479</v>
      </c>
      <c r="C62" s="1">
        <v>34623990</v>
      </c>
      <c r="D62" s="1">
        <v>43950413</v>
      </c>
      <c r="E62" s="1">
        <v>58396618</v>
      </c>
      <c r="F62" s="1">
        <v>73083284</v>
      </c>
      <c r="G62" s="1">
        <v>89196072</v>
      </c>
      <c r="H62" s="1">
        <v>109315124</v>
      </c>
      <c r="I62" s="2">
        <f t="shared" si="0"/>
        <v>306.42912405002903</v>
      </c>
      <c r="J62" s="1" t="str">
        <f t="shared" si="1"/>
        <v>Large</v>
      </c>
    </row>
    <row r="63" spans="1:10" ht="12.75" x14ac:dyDescent="0.2">
      <c r="A63" s="1" t="s">
        <v>173</v>
      </c>
      <c r="B63" s="1">
        <v>2791459</v>
      </c>
      <c r="C63" s="1">
        <v>3668796</v>
      </c>
      <c r="D63" s="1">
        <v>4540382</v>
      </c>
      <c r="E63" s="1">
        <v>5399726</v>
      </c>
      <c r="F63" s="1">
        <v>5943366</v>
      </c>
      <c r="G63" s="1">
        <v>6068249</v>
      </c>
      <c r="H63" s="1">
        <v>6234673</v>
      </c>
      <c r="I63" s="2">
        <f t="shared" si="0"/>
        <v>123.34818458734303</v>
      </c>
      <c r="J63" s="1" t="str">
        <f t="shared" si="1"/>
        <v>Medium</v>
      </c>
    </row>
    <row r="64" spans="1:10" ht="12.75" x14ac:dyDescent="0.2">
      <c r="A64" s="1" t="s">
        <v>77</v>
      </c>
      <c r="B64" s="1">
        <v>269807</v>
      </c>
      <c r="C64" s="1">
        <v>320803</v>
      </c>
      <c r="D64" s="1">
        <v>288644</v>
      </c>
      <c r="E64" s="1">
        <v>474274</v>
      </c>
      <c r="F64" s="1">
        <v>703279</v>
      </c>
      <c r="G64" s="1">
        <v>1189085</v>
      </c>
      <c r="H64" s="1">
        <v>1716468</v>
      </c>
      <c r="I64" s="2">
        <f t="shared" si="0"/>
        <v>536.183642381406</v>
      </c>
      <c r="J64" s="1" t="str">
        <f t="shared" si="1"/>
        <v>Medium</v>
      </c>
    </row>
    <row r="65" spans="1:10" ht="12.75" x14ac:dyDescent="0.2">
      <c r="A65" s="1" t="s">
        <v>60</v>
      </c>
      <c r="B65" s="1">
        <v>972547</v>
      </c>
      <c r="C65" s="1">
        <v>1243453</v>
      </c>
      <c r="D65" s="1">
        <v>1605797</v>
      </c>
      <c r="E65" s="1">
        <v>2032737</v>
      </c>
      <c r="F65" s="1">
        <v>2247031</v>
      </c>
      <c r="G65" s="1">
        <v>2945186</v>
      </c>
      <c r="H65" s="1">
        <v>3291271</v>
      </c>
      <c r="I65" s="2">
        <f t="shared" si="0"/>
        <v>238.41768058510283</v>
      </c>
      <c r="J65" s="1" t="str">
        <f t="shared" si="1"/>
        <v>Medium</v>
      </c>
    </row>
    <row r="66" spans="1:10" ht="12.75" x14ac:dyDescent="0.2">
      <c r="A66" s="1" t="s">
        <v>62</v>
      </c>
      <c r="B66" s="1">
        <v>1211537</v>
      </c>
      <c r="C66" s="1">
        <v>1360076</v>
      </c>
      <c r="D66" s="1">
        <v>1477219</v>
      </c>
      <c r="E66" s="1">
        <v>1569174</v>
      </c>
      <c r="F66" s="1">
        <v>1396985</v>
      </c>
      <c r="G66" s="1">
        <v>1331475</v>
      </c>
      <c r="H66" s="1">
        <v>1329522</v>
      </c>
      <c r="I66" s="2">
        <f t="shared" si="0"/>
        <v>9.7384561924233441</v>
      </c>
      <c r="J66" s="1" t="str">
        <f t="shared" si="1"/>
        <v>Medium</v>
      </c>
    </row>
    <row r="67" spans="1:10" ht="12.75" x14ac:dyDescent="0.2">
      <c r="A67" s="1" t="s">
        <v>183</v>
      </c>
      <c r="B67" s="1">
        <v>345337</v>
      </c>
      <c r="C67" s="1">
        <v>441216</v>
      </c>
      <c r="D67" s="1">
        <v>596644</v>
      </c>
      <c r="E67" s="1">
        <v>872428</v>
      </c>
      <c r="F67" s="1">
        <v>1041414</v>
      </c>
      <c r="G67" s="1">
        <v>1111650</v>
      </c>
      <c r="H67" s="1">
        <v>1192729</v>
      </c>
      <c r="I67" s="2">
        <f t="shared" si="0"/>
        <v>245.38117838517161</v>
      </c>
      <c r="J67" s="1" t="str">
        <f t="shared" si="1"/>
        <v>Medium</v>
      </c>
    </row>
    <row r="68" spans="1:10" ht="12.75" x14ac:dyDescent="0.2">
      <c r="A68" s="1" t="s">
        <v>63</v>
      </c>
      <c r="B68" s="1">
        <v>21376693</v>
      </c>
      <c r="C68" s="1">
        <v>27829128</v>
      </c>
      <c r="D68" s="1">
        <v>34428514</v>
      </c>
      <c r="E68" s="1">
        <v>47609755</v>
      </c>
      <c r="F68" s="1">
        <v>67411494</v>
      </c>
      <c r="G68" s="1">
        <v>90538514</v>
      </c>
      <c r="H68" s="1">
        <v>118917671</v>
      </c>
      <c r="I68" s="2">
        <f t="shared" si="0"/>
        <v>456.29592004712799</v>
      </c>
      <c r="J68" s="1" t="str">
        <f t="shared" si="1"/>
        <v>Large</v>
      </c>
    </row>
    <row r="69" spans="1:10" ht="12.75" x14ac:dyDescent="0.2">
      <c r="A69" s="1" t="s">
        <v>67</v>
      </c>
      <c r="B69" s="1">
        <v>34127</v>
      </c>
      <c r="C69" s="1">
        <v>38269</v>
      </c>
      <c r="D69" s="1">
        <v>43072</v>
      </c>
      <c r="E69" s="1">
        <v>47740</v>
      </c>
      <c r="F69" s="1">
        <v>45754</v>
      </c>
      <c r="G69" s="1">
        <v>48657</v>
      </c>
      <c r="H69" s="1">
        <v>52565</v>
      </c>
      <c r="I69" s="2">
        <f t="shared" si="0"/>
        <v>54.027602777859173</v>
      </c>
      <c r="J69" s="1" t="str">
        <f t="shared" si="1"/>
        <v>Small</v>
      </c>
    </row>
    <row r="70" spans="1:10" ht="12.75" x14ac:dyDescent="0.2">
      <c r="A70" s="1" t="s">
        <v>65</v>
      </c>
      <c r="B70" s="1">
        <v>404887</v>
      </c>
      <c r="C70" s="1">
        <v>531188</v>
      </c>
      <c r="D70" s="1">
        <v>641975</v>
      </c>
      <c r="E70" s="1">
        <v>773316</v>
      </c>
      <c r="F70" s="1">
        <v>840909</v>
      </c>
      <c r="G70" s="1">
        <v>910419</v>
      </c>
      <c r="H70" s="1">
        <v>914963</v>
      </c>
      <c r="I70" s="2">
        <f t="shared" si="0"/>
        <v>125.97984128905102</v>
      </c>
      <c r="J70" s="1" t="str">
        <f t="shared" si="1"/>
        <v>Small</v>
      </c>
    </row>
    <row r="71" spans="1:10" ht="12.75" x14ac:dyDescent="0.2">
      <c r="A71" s="1" t="s">
        <v>64</v>
      </c>
      <c r="B71" s="1">
        <v>4429634</v>
      </c>
      <c r="C71" s="1">
        <v>4606307</v>
      </c>
      <c r="D71" s="1">
        <v>4779535</v>
      </c>
      <c r="E71" s="1">
        <v>4986431</v>
      </c>
      <c r="F71" s="1">
        <v>5176209</v>
      </c>
      <c r="G71" s="1">
        <v>5363352</v>
      </c>
      <c r="H71" s="1">
        <v>5529543</v>
      </c>
      <c r="I71" s="2">
        <f t="shared" si="0"/>
        <v>24.830697073392518</v>
      </c>
      <c r="J71" s="1" t="str">
        <f t="shared" si="1"/>
        <v>Medium</v>
      </c>
    </row>
    <row r="72" spans="1:10" ht="12.75" x14ac:dyDescent="0.2">
      <c r="A72" s="1" t="s">
        <v>66</v>
      </c>
      <c r="B72" s="1">
        <v>47412964</v>
      </c>
      <c r="C72" s="1">
        <v>52007169</v>
      </c>
      <c r="D72" s="1">
        <v>55274184</v>
      </c>
      <c r="E72" s="1">
        <v>58261012</v>
      </c>
      <c r="F72" s="1">
        <v>60918661</v>
      </c>
      <c r="G72" s="1">
        <v>65026211</v>
      </c>
      <c r="H72" s="1">
        <v>67601110</v>
      </c>
      <c r="I72" s="2">
        <f t="shared" si="0"/>
        <v>42.579379766259713</v>
      </c>
      <c r="J72" s="1" t="str">
        <f t="shared" si="1"/>
        <v>Large</v>
      </c>
    </row>
    <row r="73" spans="1:10" ht="12.75" x14ac:dyDescent="0.2">
      <c r="A73" s="1" t="s">
        <v>163</v>
      </c>
      <c r="B73" s="1">
        <v>83671</v>
      </c>
      <c r="C73" s="1">
        <v>114010</v>
      </c>
      <c r="D73" s="1">
        <v>156471</v>
      </c>
      <c r="E73" s="1">
        <v>203776</v>
      </c>
      <c r="F73" s="1">
        <v>240337</v>
      </c>
      <c r="G73" s="1">
        <v>270580</v>
      </c>
      <c r="H73" s="1">
        <v>279209</v>
      </c>
      <c r="I73" s="2">
        <f t="shared" si="0"/>
        <v>233.69865305780974</v>
      </c>
      <c r="J73" s="1" t="str">
        <f t="shared" si="1"/>
        <v>Small</v>
      </c>
    </row>
    <row r="74" spans="1:10" ht="12.75" x14ac:dyDescent="0.2">
      <c r="A74" s="1" t="s">
        <v>69</v>
      </c>
      <c r="B74" s="1">
        <v>512316</v>
      </c>
      <c r="C74" s="1">
        <v>595846</v>
      </c>
      <c r="D74" s="1">
        <v>748389</v>
      </c>
      <c r="E74" s="1">
        <v>983734</v>
      </c>
      <c r="F74" s="1">
        <v>1275572</v>
      </c>
      <c r="G74" s="1">
        <v>1719879</v>
      </c>
      <c r="H74" s="1">
        <v>2322539</v>
      </c>
      <c r="I74" s="2">
        <f t="shared" si="0"/>
        <v>353.34110197612409</v>
      </c>
      <c r="J74" s="1" t="str">
        <f t="shared" si="1"/>
        <v>Medium</v>
      </c>
    </row>
    <row r="75" spans="1:10" ht="12.75" x14ac:dyDescent="0.2">
      <c r="A75" s="1" t="s">
        <v>75</v>
      </c>
      <c r="B75" s="1">
        <v>398060</v>
      </c>
      <c r="C75" s="1">
        <v>524105</v>
      </c>
      <c r="D75" s="1">
        <v>713913</v>
      </c>
      <c r="E75" s="1">
        <v>1054696</v>
      </c>
      <c r="F75" s="1">
        <v>1455084</v>
      </c>
      <c r="G75" s="1">
        <v>1926630</v>
      </c>
      <c r="H75" s="1">
        <v>2515733</v>
      </c>
      <c r="I75" s="2">
        <f t="shared" si="0"/>
        <v>531.99844244586245</v>
      </c>
      <c r="J75" s="1" t="str">
        <f t="shared" si="1"/>
        <v>Medium</v>
      </c>
    </row>
    <row r="76" spans="1:10" ht="12.75" x14ac:dyDescent="0.2">
      <c r="A76" s="1" t="s">
        <v>71</v>
      </c>
      <c r="B76" s="1">
        <v>3645600</v>
      </c>
      <c r="C76" s="1">
        <v>4119900</v>
      </c>
      <c r="D76" s="1">
        <v>4467700</v>
      </c>
      <c r="E76" s="1">
        <v>4802000</v>
      </c>
      <c r="F76" s="1">
        <v>4077131</v>
      </c>
      <c r="G76" s="1">
        <v>3786695</v>
      </c>
      <c r="H76" s="1">
        <v>3722716</v>
      </c>
      <c r="I76" s="2">
        <f t="shared" si="0"/>
        <v>2.1153170945797677</v>
      </c>
      <c r="J76" s="1" t="str">
        <f t="shared" si="1"/>
        <v>Medium</v>
      </c>
    </row>
    <row r="77" spans="1:10" ht="12.75" x14ac:dyDescent="0.2">
      <c r="A77" s="1" t="s">
        <v>52</v>
      </c>
      <c r="B77" s="1">
        <v>72814900</v>
      </c>
      <c r="C77" s="1">
        <v>78169289</v>
      </c>
      <c r="D77" s="1">
        <v>78288576</v>
      </c>
      <c r="E77" s="1">
        <v>79433029</v>
      </c>
      <c r="F77" s="1">
        <v>82211508</v>
      </c>
      <c r="G77" s="1">
        <v>81776930</v>
      </c>
      <c r="H77" s="1">
        <v>83160871</v>
      </c>
      <c r="I77" s="2">
        <f t="shared" si="0"/>
        <v>14.208590549461716</v>
      </c>
      <c r="J77" s="1" t="str">
        <f t="shared" si="1"/>
        <v>Large</v>
      </c>
    </row>
    <row r="78" spans="1:10" ht="12.75" x14ac:dyDescent="0.2">
      <c r="A78" s="1" t="s">
        <v>72</v>
      </c>
      <c r="B78" s="1">
        <v>6961215</v>
      </c>
      <c r="C78" s="1">
        <v>8925813</v>
      </c>
      <c r="D78" s="1">
        <v>11941448</v>
      </c>
      <c r="E78" s="1">
        <v>15394648</v>
      </c>
      <c r="F78" s="1">
        <v>19637087</v>
      </c>
      <c r="G78" s="1">
        <v>25474995</v>
      </c>
      <c r="H78" s="1">
        <v>31887809</v>
      </c>
      <c r="I78" s="2">
        <f t="shared" si="0"/>
        <v>358.07820904827679</v>
      </c>
      <c r="J78" s="1" t="str">
        <f t="shared" si="1"/>
        <v>Large</v>
      </c>
    </row>
    <row r="79" spans="1:10" ht="12.75" x14ac:dyDescent="0.2">
      <c r="A79" s="1" t="s">
        <v>73</v>
      </c>
      <c r="B79" s="1">
        <v>21839</v>
      </c>
      <c r="C79" s="1">
        <v>26634</v>
      </c>
      <c r="D79" s="1">
        <v>28675</v>
      </c>
      <c r="E79" s="1">
        <v>27200</v>
      </c>
      <c r="F79" s="1">
        <v>27709</v>
      </c>
      <c r="G79" s="1">
        <v>31248</v>
      </c>
      <c r="H79" s="1">
        <v>36173</v>
      </c>
      <c r="I79" s="2">
        <f t="shared" si="0"/>
        <v>65.63487339163882</v>
      </c>
      <c r="J79" s="1" t="str">
        <f t="shared" si="1"/>
        <v>Small</v>
      </c>
    </row>
    <row r="80" spans="1:10" ht="12.75" x14ac:dyDescent="0.2">
      <c r="A80" s="1" t="s">
        <v>78</v>
      </c>
      <c r="B80" s="1">
        <v>8331725</v>
      </c>
      <c r="C80" s="1">
        <v>8792806</v>
      </c>
      <c r="D80" s="1">
        <v>9642505</v>
      </c>
      <c r="E80" s="1">
        <v>10196792</v>
      </c>
      <c r="F80" s="1">
        <v>10805808</v>
      </c>
      <c r="G80" s="1">
        <v>11121341</v>
      </c>
      <c r="H80" s="1">
        <v>10698599</v>
      </c>
      <c r="I80" s="2">
        <f t="shared" si="0"/>
        <v>28.4079707383525</v>
      </c>
      <c r="J80" s="1" t="str">
        <f t="shared" si="1"/>
        <v>Large</v>
      </c>
    </row>
    <row r="81" spans="1:10" ht="12.75" x14ac:dyDescent="0.2">
      <c r="A81" s="1" t="s">
        <v>80</v>
      </c>
      <c r="B81" s="1">
        <v>32500</v>
      </c>
      <c r="C81" s="1">
        <v>46400</v>
      </c>
      <c r="D81" s="1">
        <v>50200</v>
      </c>
      <c r="E81" s="1">
        <v>55600</v>
      </c>
      <c r="F81" s="1">
        <v>56185</v>
      </c>
      <c r="G81" s="1">
        <v>56534</v>
      </c>
      <c r="H81" s="1">
        <v>56367</v>
      </c>
      <c r="I81" s="2">
        <f t="shared" si="0"/>
        <v>73.43692307692308</v>
      </c>
      <c r="J81" s="1" t="str">
        <f t="shared" si="1"/>
        <v>Small</v>
      </c>
    </row>
    <row r="82" spans="1:10" ht="12.75" x14ac:dyDescent="0.2">
      <c r="A82" s="1" t="s">
        <v>79</v>
      </c>
      <c r="B82" s="1">
        <v>94058</v>
      </c>
      <c r="C82" s="1">
        <v>98414</v>
      </c>
      <c r="D82" s="1">
        <v>94538</v>
      </c>
      <c r="E82" s="1">
        <v>99957</v>
      </c>
      <c r="F82" s="1">
        <v>107451</v>
      </c>
      <c r="G82" s="1">
        <v>111586</v>
      </c>
      <c r="H82" s="1">
        <v>116341</v>
      </c>
      <c r="I82" s="2">
        <f t="shared" si="0"/>
        <v>23.690701482064259</v>
      </c>
      <c r="J82" s="1" t="str">
        <f t="shared" si="1"/>
        <v>Small</v>
      </c>
    </row>
    <row r="83" spans="1:10" ht="12.75" x14ac:dyDescent="0.2">
      <c r="A83" s="1" t="s">
        <v>82</v>
      </c>
      <c r="B83" s="1">
        <v>69525</v>
      </c>
      <c r="C83" s="1">
        <v>88365</v>
      </c>
      <c r="D83" s="1">
        <v>110141</v>
      </c>
      <c r="E83" s="1">
        <v>138610</v>
      </c>
      <c r="F83" s="1">
        <v>160065</v>
      </c>
      <c r="G83" s="1">
        <v>166522</v>
      </c>
      <c r="H83" s="1">
        <v>162158</v>
      </c>
      <c r="I83" s="2">
        <f t="shared" si="0"/>
        <v>133.23696512046027</v>
      </c>
      <c r="J83" s="1" t="str">
        <f t="shared" si="1"/>
        <v>Small</v>
      </c>
    </row>
    <row r="84" spans="1:10" ht="12.75" x14ac:dyDescent="0.2">
      <c r="A84" s="1" t="s">
        <v>81</v>
      </c>
      <c r="B84" s="1">
        <v>4063655</v>
      </c>
      <c r="C84" s="1">
        <v>5396966</v>
      </c>
      <c r="D84" s="1">
        <v>6900212</v>
      </c>
      <c r="E84" s="1">
        <v>9024773</v>
      </c>
      <c r="F84" s="1">
        <v>11697592</v>
      </c>
      <c r="G84" s="1">
        <v>14500112</v>
      </c>
      <c r="H84" s="1">
        <v>17357325</v>
      </c>
      <c r="I84" s="2">
        <f t="shared" si="0"/>
        <v>327.13579277768412</v>
      </c>
      <c r="J84" s="1" t="str">
        <f t="shared" si="1"/>
        <v>Large</v>
      </c>
    </row>
    <row r="85" spans="1:10" ht="12.75" x14ac:dyDescent="0.2">
      <c r="A85" s="1" t="s">
        <v>74</v>
      </c>
      <c r="B85" s="1">
        <v>3556749</v>
      </c>
      <c r="C85" s="1">
        <v>4277535</v>
      </c>
      <c r="D85" s="1">
        <v>5047419</v>
      </c>
      <c r="E85" s="1">
        <v>6434374</v>
      </c>
      <c r="F85" s="1">
        <v>8428832</v>
      </c>
      <c r="G85" s="1">
        <v>10396086</v>
      </c>
      <c r="H85" s="1">
        <v>13371183</v>
      </c>
      <c r="I85" s="2">
        <f t="shared" si="0"/>
        <v>275.93833582296645</v>
      </c>
      <c r="J85" s="1" t="str">
        <f t="shared" si="1"/>
        <v>Large</v>
      </c>
    </row>
    <row r="86" spans="1:10" ht="12.75" x14ac:dyDescent="0.2">
      <c r="A86" s="1" t="s">
        <v>76</v>
      </c>
      <c r="B86" s="1">
        <v>577633</v>
      </c>
      <c r="C86" s="1">
        <v>584403</v>
      </c>
      <c r="D86" s="1">
        <v>829303</v>
      </c>
      <c r="E86" s="1">
        <v>973669</v>
      </c>
      <c r="F86" s="1">
        <v>1234741</v>
      </c>
      <c r="G86" s="1">
        <v>1566347</v>
      </c>
      <c r="H86" s="1">
        <v>2013255</v>
      </c>
      <c r="I86" s="2">
        <f t="shared" si="0"/>
        <v>248.53531567621653</v>
      </c>
      <c r="J86" s="1" t="str">
        <f t="shared" si="1"/>
        <v>Medium</v>
      </c>
    </row>
    <row r="87" spans="1:10" ht="12.75" x14ac:dyDescent="0.2">
      <c r="A87" s="1" t="s">
        <v>83</v>
      </c>
      <c r="B87" s="1">
        <v>569143</v>
      </c>
      <c r="C87" s="1">
        <v>702705</v>
      </c>
      <c r="D87" s="1">
        <v>774367</v>
      </c>
      <c r="E87" s="1">
        <v>749894</v>
      </c>
      <c r="F87" s="1">
        <v>764832</v>
      </c>
      <c r="G87" s="1">
        <v>749256</v>
      </c>
      <c r="H87" s="1">
        <v>807481</v>
      </c>
      <c r="I87" s="2">
        <f t="shared" si="0"/>
        <v>41.876646115299671</v>
      </c>
      <c r="J87" s="1" t="str">
        <f t="shared" si="1"/>
        <v>Small</v>
      </c>
    </row>
    <row r="88" spans="1:10" ht="12.75" x14ac:dyDescent="0.2">
      <c r="A88" s="1" t="s">
        <v>87</v>
      </c>
      <c r="B88" s="1">
        <v>3858443</v>
      </c>
      <c r="C88" s="1">
        <v>4635124</v>
      </c>
      <c r="D88" s="1">
        <v>5614493</v>
      </c>
      <c r="E88" s="1">
        <v>6854441</v>
      </c>
      <c r="F88" s="1">
        <v>8303151</v>
      </c>
      <c r="G88" s="1">
        <v>9803294</v>
      </c>
      <c r="H88" s="1">
        <v>11243848</v>
      </c>
      <c r="I88" s="2">
        <f t="shared" si="0"/>
        <v>191.40894397040464</v>
      </c>
      <c r="J88" s="1" t="str">
        <f t="shared" si="1"/>
        <v>Large</v>
      </c>
    </row>
    <row r="89" spans="1:10" ht="12.75" x14ac:dyDescent="0.2">
      <c r="A89" s="1" t="s">
        <v>85</v>
      </c>
      <c r="B89" s="1">
        <v>2062060</v>
      </c>
      <c r="C89" s="1">
        <v>2750715</v>
      </c>
      <c r="D89" s="1">
        <v>3727173</v>
      </c>
      <c r="E89" s="1">
        <v>4980488</v>
      </c>
      <c r="F89" s="1">
        <v>6577773</v>
      </c>
      <c r="G89" s="1">
        <v>8365878</v>
      </c>
      <c r="H89" s="1">
        <v>10119640</v>
      </c>
      <c r="I89" s="2">
        <f t="shared" si="0"/>
        <v>390.75390628788688</v>
      </c>
      <c r="J89" s="1" t="str">
        <f t="shared" si="1"/>
        <v>Large</v>
      </c>
    </row>
    <row r="90" spans="1:10" ht="12.75" x14ac:dyDescent="0.2">
      <c r="A90" s="1" t="s">
        <v>84</v>
      </c>
      <c r="B90" s="1">
        <v>3094840</v>
      </c>
      <c r="C90" s="1">
        <v>3959000</v>
      </c>
      <c r="D90" s="1">
        <v>5063100</v>
      </c>
      <c r="E90" s="1">
        <v>5704500</v>
      </c>
      <c r="F90" s="1">
        <v>6665000</v>
      </c>
      <c r="G90" s="1">
        <v>7024200</v>
      </c>
      <c r="H90" s="1">
        <v>7481000</v>
      </c>
      <c r="I90" s="2">
        <f t="shared" si="0"/>
        <v>141.72493569942225</v>
      </c>
      <c r="J90" s="1" t="str">
        <f t="shared" si="1"/>
        <v>Medium</v>
      </c>
    </row>
    <row r="91" spans="1:10" ht="12.75" x14ac:dyDescent="0.2">
      <c r="A91" s="1" t="s">
        <v>88</v>
      </c>
      <c r="B91" s="1">
        <v>9983512</v>
      </c>
      <c r="C91" s="1">
        <v>10337910</v>
      </c>
      <c r="D91" s="1">
        <v>10711122</v>
      </c>
      <c r="E91" s="1">
        <v>10373988</v>
      </c>
      <c r="F91" s="1">
        <v>10210971</v>
      </c>
      <c r="G91" s="1">
        <v>10000023</v>
      </c>
      <c r="H91" s="1">
        <v>9670419</v>
      </c>
      <c r="I91" s="2">
        <f t="shared" si="0"/>
        <v>-3.136100803003993</v>
      </c>
      <c r="J91" s="1" t="str">
        <f t="shared" si="1"/>
        <v>Medium</v>
      </c>
    </row>
    <row r="92" spans="1:10" ht="12.75" x14ac:dyDescent="0.2">
      <c r="A92" s="1" t="s">
        <v>95</v>
      </c>
      <c r="B92" s="1">
        <v>175574</v>
      </c>
      <c r="C92" s="1">
        <v>204438</v>
      </c>
      <c r="D92" s="1">
        <v>228138</v>
      </c>
      <c r="E92" s="1">
        <v>254826</v>
      </c>
      <c r="F92" s="1">
        <v>281205</v>
      </c>
      <c r="G92" s="1">
        <v>318041</v>
      </c>
      <c r="H92" s="1">
        <v>366463</v>
      </c>
      <c r="I92" s="2">
        <f t="shared" si="0"/>
        <v>108.72281772927654</v>
      </c>
      <c r="J92" s="1" t="str">
        <f t="shared" si="1"/>
        <v>Small</v>
      </c>
    </row>
    <row r="93" spans="1:10" ht="12.75" x14ac:dyDescent="0.2">
      <c r="A93" s="1" t="s">
        <v>91</v>
      </c>
      <c r="B93" s="1">
        <v>435990338</v>
      </c>
      <c r="C93" s="1">
        <v>545864268</v>
      </c>
      <c r="D93" s="1">
        <v>687354025</v>
      </c>
      <c r="E93" s="1">
        <v>864972221</v>
      </c>
      <c r="F93" s="1">
        <v>1057922733</v>
      </c>
      <c r="G93" s="1">
        <v>1243481564</v>
      </c>
      <c r="H93" s="1">
        <v>1402617695</v>
      </c>
      <c r="I93" s="2">
        <f t="shared" si="0"/>
        <v>221.70843542867686</v>
      </c>
      <c r="J93" s="1" t="str">
        <f t="shared" si="1"/>
        <v>Large</v>
      </c>
    </row>
    <row r="94" spans="1:10" ht="12.75" x14ac:dyDescent="0.2">
      <c r="A94" s="1" t="s">
        <v>89</v>
      </c>
      <c r="B94" s="1">
        <v>88296070</v>
      </c>
      <c r="C94" s="1">
        <v>115657495</v>
      </c>
      <c r="D94" s="1">
        <v>148950540</v>
      </c>
      <c r="E94" s="1">
        <v>183501098</v>
      </c>
      <c r="F94" s="1">
        <v>216077790</v>
      </c>
      <c r="G94" s="1">
        <v>246305322</v>
      </c>
      <c r="H94" s="1">
        <v>274814866</v>
      </c>
      <c r="I94" s="2">
        <f t="shared" si="0"/>
        <v>211.24246639742856</v>
      </c>
      <c r="J94" s="1" t="str">
        <f t="shared" si="1"/>
        <v>Large</v>
      </c>
    </row>
    <row r="95" spans="1:10" ht="12.75" x14ac:dyDescent="0.2">
      <c r="A95" s="1" t="s">
        <v>93</v>
      </c>
      <c r="B95" s="1">
        <v>21470434</v>
      </c>
      <c r="C95" s="1">
        <v>29145100</v>
      </c>
      <c r="D95" s="1">
        <v>39842324</v>
      </c>
      <c r="E95" s="1">
        <v>58380092</v>
      </c>
      <c r="F95" s="1">
        <v>66418659</v>
      </c>
      <c r="G95" s="1">
        <v>77420842</v>
      </c>
      <c r="H95" s="1">
        <v>87723443</v>
      </c>
      <c r="I95" s="2">
        <f t="shared" si="0"/>
        <v>308.57787504435169</v>
      </c>
      <c r="J95" s="1" t="str">
        <f t="shared" si="1"/>
        <v>Large</v>
      </c>
    </row>
    <row r="96" spans="1:10" ht="12.75" x14ac:dyDescent="0.2">
      <c r="A96" s="1" t="s">
        <v>94</v>
      </c>
      <c r="B96" s="1">
        <v>7022052</v>
      </c>
      <c r="C96" s="1">
        <v>9735611</v>
      </c>
      <c r="D96" s="1">
        <v>13591992</v>
      </c>
      <c r="E96" s="1">
        <v>17581206</v>
      </c>
      <c r="F96" s="1">
        <v>24424056</v>
      </c>
      <c r="G96" s="1">
        <v>31045366</v>
      </c>
      <c r="H96" s="1">
        <v>42116605</v>
      </c>
      <c r="I96" s="2">
        <f t="shared" si="0"/>
        <v>499.77631894494658</v>
      </c>
      <c r="J96" s="1" t="str">
        <f t="shared" si="1"/>
        <v>Large</v>
      </c>
    </row>
    <row r="97" spans="1:10" ht="12.75" x14ac:dyDescent="0.2">
      <c r="A97" s="1" t="s">
        <v>92</v>
      </c>
      <c r="B97" s="1">
        <v>2828600</v>
      </c>
      <c r="C97" s="1">
        <v>2957250</v>
      </c>
      <c r="D97" s="1">
        <v>3412800</v>
      </c>
      <c r="E97" s="1">
        <v>3513974</v>
      </c>
      <c r="F97" s="1">
        <v>3805174</v>
      </c>
      <c r="G97" s="1">
        <v>4560155</v>
      </c>
      <c r="H97" s="1">
        <v>5039747</v>
      </c>
      <c r="I97" s="2">
        <f t="shared" si="0"/>
        <v>78.171074029555257</v>
      </c>
      <c r="J97" s="1" t="str">
        <f t="shared" si="1"/>
        <v>Medium</v>
      </c>
    </row>
    <row r="98" spans="1:10" ht="12.75" x14ac:dyDescent="0.2">
      <c r="A98" s="1" t="s">
        <v>90</v>
      </c>
      <c r="B98" s="1">
        <v>48868</v>
      </c>
      <c r="C98" s="1">
        <v>55300</v>
      </c>
      <c r="D98" s="1">
        <v>64076</v>
      </c>
      <c r="E98" s="1">
        <v>68916</v>
      </c>
      <c r="F98" s="1">
        <v>75659</v>
      </c>
      <c r="G98" s="1">
        <v>83873</v>
      </c>
      <c r="H98" s="1">
        <v>84064</v>
      </c>
      <c r="I98" s="2">
        <f t="shared" si="0"/>
        <v>72.022591470901205</v>
      </c>
      <c r="J98" s="1" t="str">
        <f t="shared" si="1"/>
        <v>Small</v>
      </c>
    </row>
    <row r="99" spans="1:10" ht="12.75" x14ac:dyDescent="0.2">
      <c r="A99" s="1" t="s">
        <v>96</v>
      </c>
      <c r="B99" s="1">
        <v>2114020</v>
      </c>
      <c r="C99" s="1">
        <v>2974000</v>
      </c>
      <c r="D99" s="1">
        <v>3878000</v>
      </c>
      <c r="E99" s="1">
        <v>4660000</v>
      </c>
      <c r="F99" s="1">
        <v>6289000</v>
      </c>
      <c r="G99" s="1">
        <v>7623600</v>
      </c>
      <c r="H99" s="1">
        <v>9215100</v>
      </c>
      <c r="I99" s="2">
        <f t="shared" si="0"/>
        <v>335.9041068674847</v>
      </c>
      <c r="J99" s="1" t="str">
        <f t="shared" si="1"/>
        <v>Medium</v>
      </c>
    </row>
    <row r="100" spans="1:10" ht="12.75" x14ac:dyDescent="0.2">
      <c r="A100" s="1" t="s">
        <v>97</v>
      </c>
      <c r="B100" s="1">
        <v>50199700</v>
      </c>
      <c r="C100" s="1">
        <v>53821850</v>
      </c>
      <c r="D100" s="1">
        <v>56433883</v>
      </c>
      <c r="E100" s="1">
        <v>56719240</v>
      </c>
      <c r="F100" s="1">
        <v>56942108</v>
      </c>
      <c r="G100" s="1">
        <v>59819407</v>
      </c>
      <c r="H100" s="1">
        <v>59438851</v>
      </c>
      <c r="I100" s="2">
        <f t="shared" si="0"/>
        <v>18.404793255736589</v>
      </c>
      <c r="J100" s="1" t="str">
        <f t="shared" si="1"/>
        <v>Large</v>
      </c>
    </row>
    <row r="101" spans="1:10" ht="12.75" x14ac:dyDescent="0.2">
      <c r="A101" s="1" t="s">
        <v>98</v>
      </c>
      <c r="B101" s="1">
        <v>1650005</v>
      </c>
      <c r="C101" s="1">
        <v>1878196</v>
      </c>
      <c r="D101" s="1">
        <v>2145658</v>
      </c>
      <c r="E101" s="1">
        <v>2379877</v>
      </c>
      <c r="F101" s="1">
        <v>2607826</v>
      </c>
      <c r="G101" s="1">
        <v>2748568</v>
      </c>
      <c r="H101" s="1">
        <v>2830739</v>
      </c>
      <c r="I101" s="2">
        <f t="shared" si="0"/>
        <v>71.559419516910552</v>
      </c>
      <c r="J101" s="1" t="str">
        <f t="shared" si="1"/>
        <v>Medium</v>
      </c>
    </row>
    <row r="102" spans="1:10" ht="12.75" x14ac:dyDescent="0.2">
      <c r="A102" s="1" t="s">
        <v>100</v>
      </c>
      <c r="B102" s="1">
        <v>93216000</v>
      </c>
      <c r="C102" s="1">
        <v>103403000</v>
      </c>
      <c r="D102" s="1">
        <v>116807000</v>
      </c>
      <c r="E102" s="1">
        <v>123478000</v>
      </c>
      <c r="F102" s="1">
        <v>126843000</v>
      </c>
      <c r="G102" s="1">
        <v>128070000</v>
      </c>
      <c r="H102" s="1">
        <v>126261000</v>
      </c>
      <c r="I102" s="2">
        <f t="shared" si="0"/>
        <v>35.449922760041197</v>
      </c>
      <c r="J102" s="1" t="str">
        <f t="shared" si="1"/>
        <v>Large</v>
      </c>
    </row>
    <row r="103" spans="1:10" ht="12.75" x14ac:dyDescent="0.2">
      <c r="A103" s="1" t="s">
        <v>99</v>
      </c>
      <c r="B103" s="1">
        <v>853471</v>
      </c>
      <c r="C103" s="1">
        <v>1565163</v>
      </c>
      <c r="D103" s="1">
        <v>2234186</v>
      </c>
      <c r="E103" s="1">
        <v>3621908</v>
      </c>
      <c r="F103" s="1">
        <v>5386945</v>
      </c>
      <c r="G103" s="1">
        <v>7297043</v>
      </c>
      <c r="H103" s="1">
        <v>10865228</v>
      </c>
      <c r="I103" s="2">
        <f t="shared" si="0"/>
        <v>1173.0635252984578</v>
      </c>
      <c r="J103" s="1" t="str">
        <f t="shared" si="1"/>
        <v>Large</v>
      </c>
    </row>
    <row r="104" spans="1:10" ht="12.75" x14ac:dyDescent="0.2">
      <c r="A104" s="1" t="s">
        <v>101</v>
      </c>
      <c r="B104" s="1">
        <v>9429981</v>
      </c>
      <c r="C104" s="1">
        <v>12419057</v>
      </c>
      <c r="D104" s="1">
        <v>15152949</v>
      </c>
      <c r="E104" s="1">
        <v>17154054</v>
      </c>
      <c r="F104" s="1">
        <v>15501103</v>
      </c>
      <c r="G104" s="1">
        <v>16836810</v>
      </c>
      <c r="H104" s="1">
        <v>19482117</v>
      </c>
      <c r="I104" s="2">
        <f t="shared" si="0"/>
        <v>106.59762729108363</v>
      </c>
      <c r="J104" s="1" t="str">
        <f t="shared" si="1"/>
        <v>Large</v>
      </c>
    </row>
    <row r="105" spans="1:10" ht="12.75" x14ac:dyDescent="0.2">
      <c r="A105" s="1" t="s">
        <v>102</v>
      </c>
      <c r="B105" s="1">
        <v>7695307</v>
      </c>
      <c r="C105" s="1">
        <v>11368791</v>
      </c>
      <c r="D105" s="1">
        <v>16018459</v>
      </c>
      <c r="E105" s="1">
        <v>22892651</v>
      </c>
      <c r="F105" s="1">
        <v>30642890</v>
      </c>
      <c r="G105" s="1">
        <v>41598567</v>
      </c>
      <c r="H105" s="1">
        <v>52217334</v>
      </c>
      <c r="I105" s="2">
        <f t="shared" si="0"/>
        <v>578.56076437236356</v>
      </c>
      <c r="J105" s="1" t="str">
        <f t="shared" si="1"/>
        <v>Large</v>
      </c>
    </row>
    <row r="106" spans="1:10" ht="12.75" x14ac:dyDescent="0.2">
      <c r="A106" s="1" t="s">
        <v>105</v>
      </c>
      <c r="B106" s="1">
        <v>47157</v>
      </c>
      <c r="C106" s="1">
        <v>57510</v>
      </c>
      <c r="D106" s="1">
        <v>61148</v>
      </c>
      <c r="E106" s="1">
        <v>74855</v>
      </c>
      <c r="F106" s="1">
        <v>88613</v>
      </c>
      <c r="G106" s="1">
        <v>108704</v>
      </c>
      <c r="H106" s="1">
        <v>126099</v>
      </c>
      <c r="I106" s="2">
        <f t="shared" si="0"/>
        <v>167.40250652077106</v>
      </c>
      <c r="J106" s="1" t="str">
        <f t="shared" si="1"/>
        <v>Small</v>
      </c>
    </row>
    <row r="107" spans="1:10" ht="12.75" x14ac:dyDescent="0.2">
      <c r="A107" s="1" t="s">
        <v>159</v>
      </c>
      <c r="B107" s="1">
        <v>11722953</v>
      </c>
      <c r="C107" s="1">
        <v>15172775</v>
      </c>
      <c r="D107" s="1">
        <v>18236786</v>
      </c>
      <c r="E107" s="1">
        <v>21112137</v>
      </c>
      <c r="F107" s="1">
        <v>23665910</v>
      </c>
      <c r="G107" s="1">
        <v>24987258</v>
      </c>
      <c r="H107" s="1">
        <v>26136312</v>
      </c>
      <c r="I107" s="2">
        <f t="shared" si="0"/>
        <v>122.94990008063668</v>
      </c>
      <c r="J107" s="1" t="str">
        <f t="shared" si="1"/>
        <v>Large</v>
      </c>
    </row>
    <row r="108" spans="1:10" ht="12.75" x14ac:dyDescent="0.2">
      <c r="A108" s="1" t="s">
        <v>107</v>
      </c>
      <c r="B108" s="1">
        <v>25012374</v>
      </c>
      <c r="C108" s="1">
        <v>32240827</v>
      </c>
      <c r="D108" s="1">
        <v>38123775</v>
      </c>
      <c r="E108" s="1">
        <v>42869283</v>
      </c>
      <c r="F108" s="1">
        <v>47008111</v>
      </c>
      <c r="G108" s="1">
        <v>49554112</v>
      </c>
      <c r="H108" s="1">
        <v>51836239</v>
      </c>
      <c r="I108" s="2">
        <f t="shared" si="0"/>
        <v>107.24237931193576</v>
      </c>
      <c r="J108" s="1" t="str">
        <f t="shared" si="1"/>
        <v>Large</v>
      </c>
    </row>
    <row r="109" spans="1:10" ht="12.75" x14ac:dyDescent="0.2">
      <c r="A109" s="1" t="s">
        <v>212</v>
      </c>
      <c r="B109" s="1">
        <v>984846</v>
      </c>
      <c r="C109" s="1">
        <v>1249555</v>
      </c>
      <c r="D109" s="1">
        <v>1604818</v>
      </c>
      <c r="E109" s="1">
        <v>1973790</v>
      </c>
      <c r="F109" s="1">
        <v>1802493</v>
      </c>
      <c r="G109" s="1">
        <v>1788743</v>
      </c>
      <c r="H109" s="1">
        <v>1790151</v>
      </c>
      <c r="I109" s="2">
        <f t="shared" si="0"/>
        <v>81.769637080315093</v>
      </c>
      <c r="J109" s="1" t="str">
        <f t="shared" si="1"/>
        <v>Medium</v>
      </c>
    </row>
    <row r="110" spans="1:10" ht="12.75" x14ac:dyDescent="0.2">
      <c r="A110" s="1" t="s">
        <v>108</v>
      </c>
      <c r="B110" s="1">
        <v>311060</v>
      </c>
      <c r="C110" s="1">
        <v>809114</v>
      </c>
      <c r="D110" s="1">
        <v>1504782</v>
      </c>
      <c r="E110" s="1">
        <v>1684819</v>
      </c>
      <c r="F110" s="1">
        <v>1954709</v>
      </c>
      <c r="G110" s="1">
        <v>2943372</v>
      </c>
      <c r="H110" s="1">
        <v>4400267</v>
      </c>
      <c r="I110" s="2">
        <f t="shared" si="0"/>
        <v>1314.6039349321675</v>
      </c>
      <c r="J110" s="1" t="str">
        <f t="shared" si="1"/>
        <v>Medium</v>
      </c>
    </row>
    <row r="111" spans="1:10" ht="12.75" x14ac:dyDescent="0.2">
      <c r="A111" s="1" t="s">
        <v>103</v>
      </c>
      <c r="B111" s="1">
        <v>2172300</v>
      </c>
      <c r="C111" s="1">
        <v>2959900</v>
      </c>
      <c r="D111" s="1">
        <v>3617400</v>
      </c>
      <c r="E111" s="1">
        <v>4391236</v>
      </c>
      <c r="F111" s="1">
        <v>4898362</v>
      </c>
      <c r="G111" s="1">
        <v>5467059</v>
      </c>
      <c r="H111" s="1">
        <v>6726596</v>
      </c>
      <c r="I111" s="2">
        <f t="shared" si="0"/>
        <v>209.65317865856466</v>
      </c>
      <c r="J111" s="1" t="str">
        <f t="shared" si="1"/>
        <v>Medium</v>
      </c>
    </row>
    <row r="112" spans="1:10" ht="12.75" x14ac:dyDescent="0.2">
      <c r="A112" s="1" t="s">
        <v>118</v>
      </c>
      <c r="B112" s="1">
        <v>2120979</v>
      </c>
      <c r="C112" s="1">
        <v>2359164</v>
      </c>
      <c r="D112" s="1">
        <v>2511701</v>
      </c>
      <c r="E112" s="1">
        <v>2663151</v>
      </c>
      <c r="F112" s="1">
        <v>2367550</v>
      </c>
      <c r="G112" s="1">
        <v>2097555</v>
      </c>
      <c r="H112" s="1">
        <v>1900449</v>
      </c>
      <c r="I112" s="2">
        <f t="shared" si="0"/>
        <v>-10.397556977226083</v>
      </c>
      <c r="J112" s="1" t="str">
        <f t="shared" si="1"/>
        <v>Medium</v>
      </c>
    </row>
    <row r="113" spans="1:10" ht="12.75" x14ac:dyDescent="0.2">
      <c r="A113" s="1" t="s">
        <v>109</v>
      </c>
      <c r="B113" s="1">
        <v>1794406</v>
      </c>
      <c r="C113" s="1">
        <v>2386114</v>
      </c>
      <c r="D113" s="1">
        <v>2944763</v>
      </c>
      <c r="E113" s="1">
        <v>3595175</v>
      </c>
      <c r="F113" s="1">
        <v>4329340</v>
      </c>
      <c r="G113" s="1">
        <v>5041288</v>
      </c>
      <c r="H113" s="1">
        <v>5702398</v>
      </c>
      <c r="I113" s="2">
        <f t="shared" si="0"/>
        <v>217.78750182511649</v>
      </c>
      <c r="J113" s="1" t="str">
        <f t="shared" si="1"/>
        <v>Medium</v>
      </c>
    </row>
    <row r="114" spans="1:10" ht="12.75" x14ac:dyDescent="0.2">
      <c r="A114" s="1" t="s">
        <v>115</v>
      </c>
      <c r="B114" s="1">
        <v>736500</v>
      </c>
      <c r="C114" s="1">
        <v>1019273</v>
      </c>
      <c r="D114" s="1">
        <v>1406521</v>
      </c>
      <c r="E114" s="1">
        <v>1809696</v>
      </c>
      <c r="F114" s="1">
        <v>2003913</v>
      </c>
      <c r="G114" s="1">
        <v>1996251</v>
      </c>
      <c r="H114" s="1">
        <v>2235727</v>
      </c>
      <c r="I114" s="2">
        <f t="shared" si="0"/>
        <v>203.56103190767141</v>
      </c>
      <c r="J114" s="1" t="str">
        <f t="shared" si="1"/>
        <v>Medium</v>
      </c>
    </row>
    <row r="115" spans="1:10" ht="12.75" x14ac:dyDescent="0.2">
      <c r="A115" s="1" t="s">
        <v>110</v>
      </c>
      <c r="B115" s="1">
        <v>1139522</v>
      </c>
      <c r="C115" s="1">
        <v>1466676</v>
      </c>
      <c r="D115" s="1">
        <v>1929253</v>
      </c>
      <c r="E115" s="1">
        <v>2223667</v>
      </c>
      <c r="F115" s="1">
        <v>2928117</v>
      </c>
      <c r="G115" s="1">
        <v>4058890</v>
      </c>
      <c r="H115" s="1">
        <v>5149463</v>
      </c>
      <c r="I115" s="2">
        <f t="shared" si="0"/>
        <v>351.8967602205135</v>
      </c>
      <c r="J115" s="1" t="str">
        <f t="shared" si="1"/>
        <v>Medium</v>
      </c>
    </row>
    <row r="116" spans="1:10" ht="12.75" x14ac:dyDescent="0.2">
      <c r="A116" s="1" t="s">
        <v>111</v>
      </c>
      <c r="B116" s="1">
        <v>1492890</v>
      </c>
      <c r="C116" s="1">
        <v>2082589</v>
      </c>
      <c r="D116" s="1">
        <v>3424378</v>
      </c>
      <c r="E116" s="1">
        <v>4445239</v>
      </c>
      <c r="F116" s="1">
        <v>5305021</v>
      </c>
      <c r="G116" s="1">
        <v>6497839</v>
      </c>
      <c r="H116" s="1">
        <v>7045399</v>
      </c>
      <c r="I116" s="2">
        <f t="shared" si="0"/>
        <v>371.93021588998516</v>
      </c>
      <c r="J116" s="1" t="str">
        <f t="shared" si="1"/>
        <v>Medium</v>
      </c>
    </row>
    <row r="117" spans="1:10" ht="12.75" x14ac:dyDescent="0.2">
      <c r="A117" s="1" t="s">
        <v>113</v>
      </c>
      <c r="B117" s="1">
        <v>16451</v>
      </c>
      <c r="C117" s="1">
        <v>21140</v>
      </c>
      <c r="D117" s="1">
        <v>25512</v>
      </c>
      <c r="E117" s="1">
        <v>28742</v>
      </c>
      <c r="F117" s="1">
        <v>32645</v>
      </c>
      <c r="G117" s="1">
        <v>36022</v>
      </c>
      <c r="H117" s="1">
        <v>38901</v>
      </c>
      <c r="I117" s="2">
        <f t="shared" si="0"/>
        <v>136.46586833627134</v>
      </c>
      <c r="J117" s="1" t="str">
        <f t="shared" si="1"/>
        <v>Small</v>
      </c>
    </row>
    <row r="118" spans="1:10" ht="12.75" x14ac:dyDescent="0.2">
      <c r="A118" s="1" t="s">
        <v>116</v>
      </c>
      <c r="B118" s="1">
        <v>2778550</v>
      </c>
      <c r="C118" s="1">
        <v>3139689</v>
      </c>
      <c r="D118" s="1">
        <v>3413202</v>
      </c>
      <c r="E118" s="1">
        <v>3697838</v>
      </c>
      <c r="F118" s="1">
        <v>3499536</v>
      </c>
      <c r="G118" s="1">
        <v>3097282</v>
      </c>
      <c r="H118" s="1">
        <v>2810369</v>
      </c>
      <c r="I118" s="2">
        <f t="shared" si="0"/>
        <v>1.1451656439509816</v>
      </c>
      <c r="J118" s="1" t="str">
        <f t="shared" si="1"/>
        <v>Medium</v>
      </c>
    </row>
    <row r="119" spans="1:10" ht="12.75" x14ac:dyDescent="0.2">
      <c r="A119" s="1" t="s">
        <v>117</v>
      </c>
      <c r="B119" s="1">
        <v>313970</v>
      </c>
      <c r="C119" s="1">
        <v>339171</v>
      </c>
      <c r="D119" s="1">
        <v>364150</v>
      </c>
      <c r="E119" s="1">
        <v>381850</v>
      </c>
      <c r="F119" s="1">
        <v>436300</v>
      </c>
      <c r="G119" s="1">
        <v>506953</v>
      </c>
      <c r="H119" s="1">
        <v>630419</v>
      </c>
      <c r="I119" s="2">
        <f t="shared" si="0"/>
        <v>100.78956588209064</v>
      </c>
      <c r="J119" s="1" t="str">
        <f t="shared" si="1"/>
        <v>Small</v>
      </c>
    </row>
    <row r="120" spans="1:10" ht="12.75" x14ac:dyDescent="0.2">
      <c r="A120" s="1" t="s">
        <v>119</v>
      </c>
      <c r="B120" s="1">
        <v>173315</v>
      </c>
      <c r="C120" s="1">
        <v>257396</v>
      </c>
      <c r="D120" s="1">
        <v>239650</v>
      </c>
      <c r="E120" s="1">
        <v>334950</v>
      </c>
      <c r="F120" s="1">
        <v>430600</v>
      </c>
      <c r="G120" s="1">
        <v>537000</v>
      </c>
      <c r="H120" s="1">
        <v>685400</v>
      </c>
      <c r="I120" s="2">
        <f t="shared" si="0"/>
        <v>295.46490494186884</v>
      </c>
      <c r="J120" s="1" t="str">
        <f t="shared" si="1"/>
        <v>Small</v>
      </c>
    </row>
    <row r="121" spans="1:10" ht="12.75" x14ac:dyDescent="0.2">
      <c r="A121" s="1" t="s">
        <v>124</v>
      </c>
      <c r="B121" s="1">
        <v>5111029</v>
      </c>
      <c r="C121" s="1">
        <v>6672003</v>
      </c>
      <c r="D121" s="1">
        <v>9006032</v>
      </c>
      <c r="E121" s="1">
        <v>12055639</v>
      </c>
      <c r="F121" s="1">
        <v>16516338</v>
      </c>
      <c r="G121" s="1">
        <v>22183340</v>
      </c>
      <c r="H121" s="1">
        <v>28953556</v>
      </c>
      <c r="I121" s="2">
        <f t="shared" si="0"/>
        <v>466.49171820390762</v>
      </c>
      <c r="J121" s="1" t="str">
        <f t="shared" si="1"/>
        <v>Large</v>
      </c>
    </row>
    <row r="122" spans="1:10" ht="12.75" x14ac:dyDescent="0.2">
      <c r="A122" s="1" t="s">
        <v>138</v>
      </c>
      <c r="B122" s="1">
        <v>3628134</v>
      </c>
      <c r="C122" s="1">
        <v>4633944</v>
      </c>
      <c r="D122" s="1">
        <v>6265529</v>
      </c>
      <c r="E122" s="1">
        <v>9545852</v>
      </c>
      <c r="F122" s="1">
        <v>11315942</v>
      </c>
      <c r="G122" s="1">
        <v>14826463</v>
      </c>
      <c r="H122" s="1">
        <v>19533888</v>
      </c>
      <c r="I122" s="2">
        <f t="shared" si="0"/>
        <v>438.40040086722263</v>
      </c>
      <c r="J122" s="1" t="str">
        <f t="shared" si="1"/>
        <v>Large</v>
      </c>
    </row>
    <row r="123" spans="1:10" ht="12.75" x14ac:dyDescent="0.2">
      <c r="A123" s="1" t="s">
        <v>139</v>
      </c>
      <c r="B123" s="1">
        <v>7956197</v>
      </c>
      <c r="C123" s="1">
        <v>10178802</v>
      </c>
      <c r="D123" s="1">
        <v>12983363</v>
      </c>
      <c r="E123" s="1">
        <v>17833171</v>
      </c>
      <c r="F123" s="1">
        <v>22967816</v>
      </c>
      <c r="G123" s="1">
        <v>28655776</v>
      </c>
      <c r="H123" s="1">
        <v>33889558</v>
      </c>
      <c r="I123" s="2">
        <f t="shared" si="0"/>
        <v>325.95172040109111</v>
      </c>
      <c r="J123" s="1" t="str">
        <f t="shared" si="1"/>
        <v>Large</v>
      </c>
    </row>
    <row r="124" spans="1:10" ht="12.75" x14ac:dyDescent="0.2">
      <c r="A124" s="1" t="s">
        <v>125</v>
      </c>
      <c r="B124" s="1">
        <v>91189</v>
      </c>
      <c r="C124" s="1">
        <v>123219</v>
      </c>
      <c r="D124" s="1">
        <v>164835</v>
      </c>
      <c r="E124" s="1">
        <v>224762</v>
      </c>
      <c r="F124" s="1">
        <v>282019</v>
      </c>
      <c r="G124" s="1">
        <v>360792</v>
      </c>
      <c r="H124" s="1">
        <v>502118</v>
      </c>
      <c r="I124" s="2">
        <f t="shared" si="0"/>
        <v>450.63439669258355</v>
      </c>
      <c r="J124" s="1" t="str">
        <f t="shared" si="1"/>
        <v>Small</v>
      </c>
    </row>
    <row r="125" spans="1:10" ht="12.75" x14ac:dyDescent="0.2">
      <c r="A125" s="1" t="s">
        <v>129</v>
      </c>
      <c r="B125" s="1">
        <v>5402550</v>
      </c>
      <c r="C125" s="1">
        <v>6276472</v>
      </c>
      <c r="D125" s="1">
        <v>7530515</v>
      </c>
      <c r="E125" s="1">
        <v>9178830</v>
      </c>
      <c r="F125" s="1">
        <v>11559290</v>
      </c>
      <c r="G125" s="1">
        <v>15945198</v>
      </c>
      <c r="H125" s="1">
        <v>21713836</v>
      </c>
      <c r="I125" s="2">
        <f t="shared" si="0"/>
        <v>301.91827933105662</v>
      </c>
      <c r="J125" s="1" t="str">
        <f t="shared" si="1"/>
        <v>Large</v>
      </c>
    </row>
    <row r="126" spans="1:10" ht="12.75" x14ac:dyDescent="0.2">
      <c r="A126" s="1" t="s">
        <v>130</v>
      </c>
      <c r="B126" s="1">
        <v>326550</v>
      </c>
      <c r="C126" s="1">
        <v>302650</v>
      </c>
      <c r="D126" s="1">
        <v>316645</v>
      </c>
      <c r="E126" s="1">
        <v>354170</v>
      </c>
      <c r="F126" s="1">
        <v>390087</v>
      </c>
      <c r="G126" s="1">
        <v>414508</v>
      </c>
      <c r="H126" s="1">
        <v>515490</v>
      </c>
      <c r="I126" s="2">
        <f t="shared" si="0"/>
        <v>57.859439595773999</v>
      </c>
      <c r="J126" s="1" t="str">
        <f t="shared" si="1"/>
        <v>Small</v>
      </c>
    </row>
    <row r="127" spans="1:10" ht="12.75" x14ac:dyDescent="0.2">
      <c r="A127" s="1" t="s">
        <v>127</v>
      </c>
      <c r="B127" s="1">
        <v>14703</v>
      </c>
      <c r="C127" s="1">
        <v>22530</v>
      </c>
      <c r="D127" s="1">
        <v>30774</v>
      </c>
      <c r="E127" s="1">
        <v>44629</v>
      </c>
      <c r="F127" s="1">
        <v>50706</v>
      </c>
      <c r="G127" s="1">
        <v>52044</v>
      </c>
      <c r="H127" s="1">
        <v>42706</v>
      </c>
      <c r="I127" s="2">
        <f t="shared" si="0"/>
        <v>190.45772971502416</v>
      </c>
      <c r="J127" s="1" t="str">
        <f t="shared" si="1"/>
        <v>Small</v>
      </c>
    </row>
    <row r="128" spans="1:10" ht="12.75" x14ac:dyDescent="0.2">
      <c r="A128" s="1" t="s">
        <v>136</v>
      </c>
      <c r="B128" s="1">
        <v>824298</v>
      </c>
      <c r="C128" s="1">
        <v>1099806</v>
      </c>
      <c r="D128" s="1">
        <v>1474043</v>
      </c>
      <c r="E128" s="1">
        <v>1951878</v>
      </c>
      <c r="F128" s="1">
        <v>2613441</v>
      </c>
      <c r="G128" s="1">
        <v>3390965</v>
      </c>
      <c r="H128" s="1">
        <v>4600131</v>
      </c>
      <c r="I128" s="2">
        <f t="shared" si="0"/>
        <v>458.06650022200711</v>
      </c>
      <c r="J128" s="1" t="str">
        <f t="shared" si="1"/>
        <v>Medium</v>
      </c>
    </row>
    <row r="129" spans="1:10" ht="12.75" x14ac:dyDescent="0.2">
      <c r="A129" s="1" t="s">
        <v>137</v>
      </c>
      <c r="B129" s="1">
        <v>680331</v>
      </c>
      <c r="C129" s="1">
        <v>826000</v>
      </c>
      <c r="D129" s="1">
        <v>966039</v>
      </c>
      <c r="E129" s="1">
        <v>1058775</v>
      </c>
      <c r="F129" s="1">
        <v>1186873</v>
      </c>
      <c r="G129" s="1">
        <v>1250400</v>
      </c>
      <c r="H129" s="1">
        <v>1266014</v>
      </c>
      <c r="I129" s="2">
        <f t="shared" si="0"/>
        <v>86.087948366309931</v>
      </c>
      <c r="J129" s="1" t="str">
        <f t="shared" si="1"/>
        <v>Medium</v>
      </c>
    </row>
    <row r="130" spans="1:10" ht="12.75" x14ac:dyDescent="0.2">
      <c r="A130" s="1" t="s">
        <v>126</v>
      </c>
      <c r="B130" s="1">
        <v>36724615</v>
      </c>
      <c r="C130" s="1">
        <v>50814953</v>
      </c>
      <c r="D130" s="1">
        <v>67300334</v>
      </c>
      <c r="E130" s="1">
        <v>82820170</v>
      </c>
      <c r="F130" s="1">
        <v>98625552</v>
      </c>
      <c r="G130" s="1">
        <v>113623895</v>
      </c>
      <c r="H130" s="1">
        <v>126799054</v>
      </c>
      <c r="I130" s="2">
        <f t="shared" si="0"/>
        <v>245.26993407555122</v>
      </c>
      <c r="J130" s="1" t="str">
        <f t="shared" si="1"/>
        <v>Large</v>
      </c>
    </row>
    <row r="131" spans="1:10" ht="12.75" x14ac:dyDescent="0.2">
      <c r="A131" s="1" t="s">
        <v>68</v>
      </c>
      <c r="B131" s="1">
        <v>43061</v>
      </c>
      <c r="C131" s="1">
        <v>58922</v>
      </c>
      <c r="D131" s="1">
        <v>77407</v>
      </c>
      <c r="E131" s="1">
        <v>100888</v>
      </c>
      <c r="F131" s="1">
        <v>112044</v>
      </c>
      <c r="G131" s="1">
        <v>107540</v>
      </c>
      <c r="H131" s="1">
        <v>110916</v>
      </c>
      <c r="I131" s="2">
        <f t="shared" si="0"/>
        <v>157.57878358607559</v>
      </c>
      <c r="J131" s="1" t="str">
        <f t="shared" si="1"/>
        <v>Small</v>
      </c>
    </row>
    <row r="132" spans="1:10" ht="12.75" x14ac:dyDescent="0.2">
      <c r="A132" s="1" t="s">
        <v>123</v>
      </c>
      <c r="B132" s="1">
        <v>2058020</v>
      </c>
      <c r="C132" s="1">
        <v>2437590</v>
      </c>
      <c r="D132" s="1">
        <v>2708675</v>
      </c>
      <c r="E132" s="1">
        <v>2977912</v>
      </c>
      <c r="F132" s="1">
        <v>2924668</v>
      </c>
      <c r="G132" s="1">
        <v>2862354</v>
      </c>
      <c r="H132" s="1">
        <v>2635130</v>
      </c>
      <c r="I132" s="2">
        <f t="shared" si="0"/>
        <v>28.042001535456411</v>
      </c>
      <c r="J132" s="1" t="str">
        <f t="shared" si="1"/>
        <v>Medium</v>
      </c>
    </row>
    <row r="133" spans="1:10" ht="12.75" x14ac:dyDescent="0.2">
      <c r="A133" s="1" t="s">
        <v>122</v>
      </c>
      <c r="B133" s="1">
        <v>21808</v>
      </c>
      <c r="C133" s="1">
        <v>24229</v>
      </c>
      <c r="D133" s="1">
        <v>27122</v>
      </c>
      <c r="E133" s="1">
        <v>30358</v>
      </c>
      <c r="F133" s="1">
        <v>32455</v>
      </c>
      <c r="G133" s="1">
        <v>33163</v>
      </c>
      <c r="H133" s="1">
        <v>38050</v>
      </c>
      <c r="I133" s="2">
        <f t="shared" si="0"/>
        <v>74.477256052824643</v>
      </c>
      <c r="J133" s="1" t="str">
        <f t="shared" si="1"/>
        <v>Small</v>
      </c>
    </row>
    <row r="134" spans="1:10" ht="12.75" x14ac:dyDescent="0.2">
      <c r="A134" s="1" t="s">
        <v>133</v>
      </c>
      <c r="B134" s="1">
        <v>977595</v>
      </c>
      <c r="C134" s="1">
        <v>1295272</v>
      </c>
      <c r="D134" s="1">
        <v>1701335</v>
      </c>
      <c r="E134" s="1">
        <v>2098710</v>
      </c>
      <c r="F134" s="1">
        <v>2388299</v>
      </c>
      <c r="G134" s="1">
        <v>2738622</v>
      </c>
      <c r="H134" s="1">
        <v>3327204</v>
      </c>
      <c r="I134" s="2">
        <f t="shared" si="0"/>
        <v>240.34584874104308</v>
      </c>
      <c r="J134" s="1" t="str">
        <f t="shared" si="1"/>
        <v>Medium</v>
      </c>
    </row>
    <row r="135" spans="1:10" ht="12.75" x14ac:dyDescent="0.2">
      <c r="A135" s="1" t="s">
        <v>132</v>
      </c>
      <c r="B135" s="1">
        <v>480579</v>
      </c>
      <c r="C135" s="1">
        <v>512407</v>
      </c>
      <c r="D135" s="1">
        <v>572608</v>
      </c>
      <c r="E135" s="1">
        <v>606372</v>
      </c>
      <c r="F135" s="1">
        <v>604950</v>
      </c>
      <c r="G135" s="1">
        <v>619428</v>
      </c>
      <c r="H135" s="1">
        <v>626590</v>
      </c>
      <c r="I135" s="2">
        <f t="shared" si="0"/>
        <v>30.382309672291129</v>
      </c>
      <c r="J135" s="1" t="str">
        <f t="shared" si="1"/>
        <v>Small</v>
      </c>
    </row>
    <row r="136" spans="1:10" ht="12.75" x14ac:dyDescent="0.2">
      <c r="A136" s="1" t="s">
        <v>121</v>
      </c>
      <c r="B136" s="1">
        <v>11624933</v>
      </c>
      <c r="C136" s="1">
        <v>15129449</v>
      </c>
      <c r="D136" s="1">
        <v>19459943</v>
      </c>
      <c r="E136" s="1">
        <v>24375551</v>
      </c>
      <c r="F136" s="1">
        <v>28423435</v>
      </c>
      <c r="G136" s="1">
        <v>32467016</v>
      </c>
      <c r="H136" s="1">
        <v>36584208</v>
      </c>
      <c r="I136" s="2">
        <f t="shared" si="0"/>
        <v>214.70467829793085</v>
      </c>
      <c r="J136" s="1" t="str">
        <f t="shared" si="1"/>
        <v>Large</v>
      </c>
    </row>
    <row r="137" spans="1:10" ht="12.75" x14ac:dyDescent="0.2">
      <c r="A137" s="1" t="s">
        <v>135</v>
      </c>
      <c r="B137" s="1">
        <v>6713695</v>
      </c>
      <c r="C137" s="1">
        <v>8250506</v>
      </c>
      <c r="D137" s="1">
        <v>11336221</v>
      </c>
      <c r="E137" s="1">
        <v>13094537</v>
      </c>
      <c r="F137" s="1">
        <v>18129653</v>
      </c>
      <c r="G137" s="1">
        <v>22999235</v>
      </c>
      <c r="H137" s="1">
        <v>30783688</v>
      </c>
      <c r="I137" s="2">
        <f t="shared" si="0"/>
        <v>358.52079964907551</v>
      </c>
      <c r="J137" s="1" t="str">
        <f t="shared" si="1"/>
        <v>Large</v>
      </c>
    </row>
    <row r="138" spans="1:10" ht="12.75" x14ac:dyDescent="0.2">
      <c r="A138" s="1" t="s">
        <v>131</v>
      </c>
      <c r="B138" s="1">
        <v>21730250</v>
      </c>
      <c r="C138" s="1">
        <v>27193016</v>
      </c>
      <c r="D138" s="1">
        <v>33227204</v>
      </c>
      <c r="E138" s="1">
        <v>39817251</v>
      </c>
      <c r="F138" s="1">
        <v>45290841</v>
      </c>
      <c r="G138" s="1">
        <v>49024382</v>
      </c>
      <c r="H138" s="1">
        <v>53016522</v>
      </c>
      <c r="I138" s="2">
        <f t="shared" si="0"/>
        <v>143.97566525925839</v>
      </c>
      <c r="J138" s="1" t="str">
        <f t="shared" si="1"/>
        <v>Large</v>
      </c>
    </row>
    <row r="139" spans="1:10" ht="12.75" x14ac:dyDescent="0.2">
      <c r="A139" s="1" t="s">
        <v>140</v>
      </c>
      <c r="B139" s="1">
        <v>591465</v>
      </c>
      <c r="C139" s="1">
        <v>757868</v>
      </c>
      <c r="D139" s="1">
        <v>981434</v>
      </c>
      <c r="E139" s="1">
        <v>1369303</v>
      </c>
      <c r="F139" s="1">
        <v>1818647</v>
      </c>
      <c r="G139" s="1">
        <v>2109811</v>
      </c>
      <c r="H139" s="1">
        <v>2728762</v>
      </c>
      <c r="I139" s="2">
        <f t="shared" si="0"/>
        <v>361.35646234350298</v>
      </c>
      <c r="J139" s="1" t="str">
        <f t="shared" si="1"/>
        <v>Medium</v>
      </c>
    </row>
    <row r="140" spans="1:10" ht="12.75" x14ac:dyDescent="0.2">
      <c r="A140" s="1" t="s">
        <v>148</v>
      </c>
      <c r="B140" s="1">
        <v>4607</v>
      </c>
      <c r="C140" s="1">
        <v>6710</v>
      </c>
      <c r="D140" s="1">
        <v>7649</v>
      </c>
      <c r="E140" s="1">
        <v>9622</v>
      </c>
      <c r="F140" s="1">
        <v>10168</v>
      </c>
      <c r="G140" s="1">
        <v>10043</v>
      </c>
      <c r="H140" s="1">
        <v>11643</v>
      </c>
      <c r="I140" s="2">
        <f t="shared" si="0"/>
        <v>152.72411547644887</v>
      </c>
      <c r="J140" s="1" t="str">
        <f t="shared" si="1"/>
        <v>Small</v>
      </c>
    </row>
    <row r="141" spans="1:10" ht="12.75" x14ac:dyDescent="0.2">
      <c r="A141" s="1" t="s">
        <v>147</v>
      </c>
      <c r="B141" s="1">
        <v>10123658</v>
      </c>
      <c r="C141" s="1">
        <v>12436190</v>
      </c>
      <c r="D141" s="1">
        <v>15553105</v>
      </c>
      <c r="E141" s="1">
        <v>19524573</v>
      </c>
      <c r="F141" s="1">
        <v>24546509</v>
      </c>
      <c r="G141" s="1">
        <v>27341952</v>
      </c>
      <c r="H141" s="1">
        <v>28966574</v>
      </c>
      <c r="I141" s="2">
        <f t="shared" si="0"/>
        <v>186.12754401620441</v>
      </c>
      <c r="J141" s="1" t="str">
        <f t="shared" si="1"/>
        <v>Large</v>
      </c>
    </row>
    <row r="142" spans="1:10" ht="12.75" x14ac:dyDescent="0.2">
      <c r="A142" s="1" t="s">
        <v>145</v>
      </c>
      <c r="B142" s="1">
        <v>11486631</v>
      </c>
      <c r="C142" s="1">
        <v>13038526</v>
      </c>
      <c r="D142" s="1">
        <v>14149800</v>
      </c>
      <c r="E142" s="1">
        <v>14951510</v>
      </c>
      <c r="F142" s="1">
        <v>15925513</v>
      </c>
      <c r="G142" s="1">
        <v>16615394</v>
      </c>
      <c r="H142" s="1">
        <v>17441500</v>
      </c>
      <c r="I142" s="2">
        <f t="shared" si="0"/>
        <v>51.841736711138367</v>
      </c>
      <c r="J142" s="1" t="str">
        <f t="shared" si="1"/>
        <v>Large</v>
      </c>
    </row>
    <row r="143" spans="1:10" ht="12.75" x14ac:dyDescent="0.2">
      <c r="A143" s="1" t="s">
        <v>141</v>
      </c>
      <c r="B143" s="1">
        <v>79819</v>
      </c>
      <c r="C143" s="1">
        <v>109338</v>
      </c>
      <c r="D143" s="1">
        <v>149817</v>
      </c>
      <c r="E143" s="1">
        <v>176456</v>
      </c>
      <c r="F143" s="1">
        <v>223098</v>
      </c>
      <c r="G143" s="1">
        <v>261582</v>
      </c>
      <c r="H143" s="1">
        <v>284176</v>
      </c>
      <c r="I143" s="2">
        <f t="shared" si="0"/>
        <v>256.02550771119661</v>
      </c>
      <c r="J143" s="1" t="str">
        <f t="shared" si="1"/>
        <v>Small</v>
      </c>
    </row>
    <row r="144" spans="1:10" ht="12.75" x14ac:dyDescent="0.2">
      <c r="A144" s="1" t="s">
        <v>149</v>
      </c>
      <c r="B144" s="1">
        <v>2371800</v>
      </c>
      <c r="C144" s="1">
        <v>2810700</v>
      </c>
      <c r="D144" s="1">
        <v>3112900</v>
      </c>
      <c r="E144" s="1">
        <v>3329800</v>
      </c>
      <c r="F144" s="1">
        <v>3857700</v>
      </c>
      <c r="G144" s="1">
        <v>4350700</v>
      </c>
      <c r="H144" s="1">
        <v>5072400</v>
      </c>
      <c r="I144" s="2">
        <f t="shared" si="0"/>
        <v>113.86288894510498</v>
      </c>
      <c r="J144" s="1" t="str">
        <f t="shared" si="1"/>
        <v>Medium</v>
      </c>
    </row>
    <row r="145" spans="1:10" ht="12.75" x14ac:dyDescent="0.2">
      <c r="A145" s="1" t="s">
        <v>144</v>
      </c>
      <c r="B145" s="1">
        <v>1782370</v>
      </c>
      <c r="C145" s="1">
        <v>2423065</v>
      </c>
      <c r="D145" s="1">
        <v>3252403</v>
      </c>
      <c r="E145" s="1">
        <v>4162559</v>
      </c>
      <c r="F145" s="1">
        <v>5022633</v>
      </c>
      <c r="G145" s="1">
        <v>5737450</v>
      </c>
      <c r="H145" s="1">
        <v>6565267</v>
      </c>
      <c r="I145" s="2">
        <f t="shared" si="0"/>
        <v>268.34478811918962</v>
      </c>
      <c r="J145" s="1" t="str">
        <f t="shared" si="1"/>
        <v>Medium</v>
      </c>
    </row>
    <row r="146" spans="1:10" ht="12.75" x14ac:dyDescent="0.2">
      <c r="A146" s="1" t="s">
        <v>142</v>
      </c>
      <c r="B146" s="1">
        <v>3505050</v>
      </c>
      <c r="C146" s="1">
        <v>4650275</v>
      </c>
      <c r="D146" s="1">
        <v>6135971</v>
      </c>
      <c r="E146" s="1">
        <v>8286059</v>
      </c>
      <c r="F146" s="1">
        <v>11509630</v>
      </c>
      <c r="G146" s="1">
        <v>16548835</v>
      </c>
      <c r="H146" s="1">
        <v>23717613</v>
      </c>
      <c r="I146" s="2">
        <f t="shared" si="0"/>
        <v>576.66974793512213</v>
      </c>
      <c r="J146" s="1" t="str">
        <f t="shared" si="1"/>
        <v>Large</v>
      </c>
    </row>
    <row r="147" spans="1:10" ht="12.75" x14ac:dyDescent="0.2">
      <c r="A147" s="1" t="s">
        <v>143</v>
      </c>
      <c r="B147" s="1">
        <v>45053782</v>
      </c>
      <c r="C147" s="1">
        <v>55893838</v>
      </c>
      <c r="D147" s="1">
        <v>73764641</v>
      </c>
      <c r="E147" s="1">
        <v>97120925</v>
      </c>
      <c r="F147" s="1">
        <v>126382494</v>
      </c>
      <c r="G147" s="1">
        <v>166642886</v>
      </c>
      <c r="H147" s="1">
        <v>213996181</v>
      </c>
      <c r="I147" s="2">
        <f t="shared" si="0"/>
        <v>374.97939462662646</v>
      </c>
      <c r="J147" s="1" t="str">
        <f t="shared" si="1"/>
        <v>Large</v>
      </c>
    </row>
    <row r="148" spans="1:10" ht="12.75" x14ac:dyDescent="0.2">
      <c r="A148" s="1" t="s">
        <v>128</v>
      </c>
      <c r="B148" s="1">
        <v>1435059</v>
      </c>
      <c r="C148" s="1">
        <v>1664208</v>
      </c>
      <c r="D148" s="1">
        <v>1933038</v>
      </c>
      <c r="E148" s="1">
        <v>2063689</v>
      </c>
      <c r="F148" s="1">
        <v>2026350</v>
      </c>
      <c r="G148" s="1">
        <v>1946298</v>
      </c>
      <c r="H148" s="1">
        <v>1856124</v>
      </c>
      <c r="I148" s="2">
        <f t="shared" si="0"/>
        <v>29.341302343666708</v>
      </c>
      <c r="J148" s="1" t="str">
        <f t="shared" si="1"/>
        <v>Medium</v>
      </c>
    </row>
    <row r="149" spans="1:10" ht="12.75" x14ac:dyDescent="0.2">
      <c r="A149" s="1" t="s">
        <v>134</v>
      </c>
      <c r="B149" s="1">
        <v>8736</v>
      </c>
      <c r="C149" s="1">
        <v>10170</v>
      </c>
      <c r="D149" s="1">
        <v>17625</v>
      </c>
      <c r="E149" s="1">
        <v>43342</v>
      </c>
      <c r="F149" s="1">
        <v>68356</v>
      </c>
      <c r="G149" s="1">
        <v>54091</v>
      </c>
      <c r="H149" s="1">
        <v>47528</v>
      </c>
      <c r="I149" s="2">
        <f t="shared" si="0"/>
        <v>444.04761904761909</v>
      </c>
      <c r="J149" s="1" t="str">
        <f t="shared" si="1"/>
        <v>Small</v>
      </c>
    </row>
    <row r="150" spans="1:10" ht="12.75" x14ac:dyDescent="0.2">
      <c r="A150" s="1" t="s">
        <v>146</v>
      </c>
      <c r="B150" s="1">
        <v>3581239</v>
      </c>
      <c r="C150" s="1">
        <v>3875763</v>
      </c>
      <c r="D150" s="1">
        <v>4085620</v>
      </c>
      <c r="E150" s="1">
        <v>4241473</v>
      </c>
      <c r="F150" s="1">
        <v>4490967</v>
      </c>
      <c r="G150" s="1">
        <v>4889252</v>
      </c>
      <c r="H150" s="1">
        <v>5379475</v>
      </c>
      <c r="I150" s="2">
        <f t="shared" si="0"/>
        <v>50.212677791122005</v>
      </c>
      <c r="J150" s="1" t="str">
        <f t="shared" si="1"/>
        <v>Medium</v>
      </c>
    </row>
    <row r="151" spans="1:10" ht="12.75" x14ac:dyDescent="0.2">
      <c r="A151" s="1" t="s">
        <v>150</v>
      </c>
      <c r="B151" s="1">
        <v>530485</v>
      </c>
      <c r="C151" s="1">
        <v>662680</v>
      </c>
      <c r="D151" s="1">
        <v>1001248</v>
      </c>
      <c r="E151" s="1">
        <v>1763954</v>
      </c>
      <c r="F151" s="1">
        <v>2282131</v>
      </c>
      <c r="G151" s="1">
        <v>2757446</v>
      </c>
      <c r="H151" s="1">
        <v>4522497</v>
      </c>
      <c r="I151" s="2">
        <f t="shared" si="0"/>
        <v>752.52118344533767</v>
      </c>
      <c r="J151" s="1" t="str">
        <f t="shared" si="1"/>
        <v>Medium</v>
      </c>
    </row>
    <row r="152" spans="1:10" ht="12.75" x14ac:dyDescent="0.2">
      <c r="A152" s="1" t="s">
        <v>151</v>
      </c>
      <c r="B152" s="1">
        <v>45709310</v>
      </c>
      <c r="C152" s="1">
        <v>60166719</v>
      </c>
      <c r="D152" s="1">
        <v>82291010</v>
      </c>
      <c r="E152" s="1">
        <v>116155576</v>
      </c>
      <c r="F152" s="1">
        <v>154879127</v>
      </c>
      <c r="G152" s="1">
        <v>199239047</v>
      </c>
      <c r="H152" s="1">
        <v>235001746</v>
      </c>
      <c r="I152" s="2">
        <f t="shared" si="0"/>
        <v>414.12227837173657</v>
      </c>
      <c r="J152" s="1" t="str">
        <f t="shared" si="1"/>
        <v>Large</v>
      </c>
    </row>
    <row r="153" spans="1:10" ht="12.75" x14ac:dyDescent="0.2">
      <c r="A153" s="1" t="s">
        <v>155</v>
      </c>
      <c r="B153" s="1">
        <v>9328</v>
      </c>
      <c r="C153" s="1">
        <v>11368</v>
      </c>
      <c r="D153" s="1">
        <v>12271</v>
      </c>
      <c r="E153" s="1">
        <v>15259</v>
      </c>
      <c r="F153" s="1">
        <v>19178</v>
      </c>
      <c r="G153" s="1">
        <v>18396</v>
      </c>
      <c r="H153" s="1">
        <v>17792</v>
      </c>
      <c r="I153" s="2">
        <f t="shared" si="0"/>
        <v>90.737564322469993</v>
      </c>
      <c r="J153" s="1" t="str">
        <f t="shared" si="1"/>
        <v>Small</v>
      </c>
    </row>
    <row r="154" spans="1:10" ht="12.75" x14ac:dyDescent="0.2">
      <c r="A154" s="1" t="s">
        <v>152</v>
      </c>
      <c r="B154" s="1">
        <v>1126005</v>
      </c>
      <c r="C154" s="1">
        <v>1513070</v>
      </c>
      <c r="D154" s="1">
        <v>1957534</v>
      </c>
      <c r="E154" s="1">
        <v>2455583</v>
      </c>
      <c r="F154" s="1">
        <v>3010369</v>
      </c>
      <c r="G154" s="1">
        <v>3628535</v>
      </c>
      <c r="H154" s="1">
        <v>4293261</v>
      </c>
      <c r="I154" s="2">
        <f t="shared" si="0"/>
        <v>281.28258755511746</v>
      </c>
      <c r="J154" s="1" t="str">
        <f t="shared" si="1"/>
        <v>Medium</v>
      </c>
    </row>
    <row r="155" spans="1:10" ht="12.75" x14ac:dyDescent="0.2">
      <c r="A155" s="1" t="s">
        <v>156</v>
      </c>
      <c r="B155" s="1">
        <v>1995110</v>
      </c>
      <c r="C155" s="1">
        <v>2505628</v>
      </c>
      <c r="D155" s="1">
        <v>3131512</v>
      </c>
      <c r="E155" s="1">
        <v>3896481</v>
      </c>
      <c r="F155" s="1">
        <v>5537064</v>
      </c>
      <c r="G155" s="1">
        <v>7633523</v>
      </c>
      <c r="H155" s="1">
        <v>9815746</v>
      </c>
      <c r="I155" s="2">
        <f t="shared" si="0"/>
        <v>391.99021607831151</v>
      </c>
      <c r="J155" s="1" t="str">
        <f t="shared" si="1"/>
        <v>Medium</v>
      </c>
    </row>
    <row r="156" spans="1:10" ht="12.75" x14ac:dyDescent="0.2">
      <c r="A156" s="1" t="s">
        <v>161</v>
      </c>
      <c r="B156" s="1">
        <v>1883514</v>
      </c>
      <c r="C156" s="1">
        <v>2388028</v>
      </c>
      <c r="D156" s="1">
        <v>3053235</v>
      </c>
      <c r="E156" s="1">
        <v>4035747</v>
      </c>
      <c r="F156" s="1">
        <v>5100868</v>
      </c>
      <c r="G156" s="1">
        <v>5737971</v>
      </c>
      <c r="H156" s="1">
        <v>6603739</v>
      </c>
      <c r="I156" s="2">
        <f t="shared" si="0"/>
        <v>250.60737536328372</v>
      </c>
      <c r="J156" s="1" t="str">
        <f t="shared" si="1"/>
        <v>Medium</v>
      </c>
    </row>
    <row r="157" spans="1:10" ht="12.75" x14ac:dyDescent="0.2">
      <c r="A157" s="1" t="s">
        <v>153</v>
      </c>
      <c r="B157" s="1">
        <v>10174127</v>
      </c>
      <c r="C157" s="1">
        <v>13501237</v>
      </c>
      <c r="D157" s="1">
        <v>17360949</v>
      </c>
      <c r="E157" s="1">
        <v>22014771</v>
      </c>
      <c r="F157" s="1">
        <v>26598331</v>
      </c>
      <c r="G157" s="1">
        <v>29086019</v>
      </c>
      <c r="H157" s="1">
        <v>32838579</v>
      </c>
      <c r="I157" s="2">
        <f t="shared" si="0"/>
        <v>222.76556995995821</v>
      </c>
      <c r="J157" s="1" t="str">
        <f t="shared" si="1"/>
        <v>Large</v>
      </c>
    </row>
    <row r="158" spans="1:10" ht="12.75" x14ac:dyDescent="0.2">
      <c r="A158" s="1" t="s">
        <v>154</v>
      </c>
      <c r="B158" s="1">
        <v>27891897</v>
      </c>
      <c r="C158" s="1">
        <v>37622204</v>
      </c>
      <c r="D158" s="1">
        <v>48043740</v>
      </c>
      <c r="E158" s="1">
        <v>62854666</v>
      </c>
      <c r="F158" s="1">
        <v>79625397</v>
      </c>
      <c r="G158" s="1">
        <v>96337125</v>
      </c>
      <c r="H158" s="1">
        <v>112081264</v>
      </c>
      <c r="I158" s="2">
        <f t="shared" si="0"/>
        <v>301.84166749217525</v>
      </c>
      <c r="J158" s="1" t="str">
        <f t="shared" si="1"/>
        <v>Large</v>
      </c>
    </row>
    <row r="159" spans="1:10" ht="12.75" x14ac:dyDescent="0.2">
      <c r="A159" s="1" t="s">
        <v>157</v>
      </c>
      <c r="B159" s="1">
        <v>29637450</v>
      </c>
      <c r="C159" s="1">
        <v>32664300</v>
      </c>
      <c r="D159" s="1">
        <v>35574150</v>
      </c>
      <c r="E159" s="1">
        <v>38110782</v>
      </c>
      <c r="F159" s="1">
        <v>38258629</v>
      </c>
      <c r="G159" s="1">
        <v>38042794</v>
      </c>
      <c r="H159" s="1">
        <v>37515748</v>
      </c>
      <c r="I159" s="2">
        <f t="shared" si="0"/>
        <v>26.582239700109149</v>
      </c>
      <c r="J159" s="1" t="str">
        <f t="shared" si="1"/>
        <v>Large</v>
      </c>
    </row>
    <row r="160" spans="1:10" ht="12.75" x14ac:dyDescent="0.2">
      <c r="A160" s="1" t="s">
        <v>160</v>
      </c>
      <c r="B160" s="1">
        <v>8857716</v>
      </c>
      <c r="C160" s="1">
        <v>8680431</v>
      </c>
      <c r="D160" s="1">
        <v>9766312</v>
      </c>
      <c r="E160" s="1">
        <v>9983218</v>
      </c>
      <c r="F160" s="1">
        <v>10289898</v>
      </c>
      <c r="G160" s="1">
        <v>10573100</v>
      </c>
      <c r="H160" s="1">
        <v>10297081</v>
      </c>
      <c r="I160" s="2">
        <f t="shared" si="0"/>
        <v>16.24984363915032</v>
      </c>
      <c r="J160" s="1" t="str">
        <f t="shared" si="1"/>
        <v>Large</v>
      </c>
    </row>
    <row r="161" spans="1:10" ht="12.75" x14ac:dyDescent="0.2">
      <c r="A161" s="1" t="s">
        <v>158</v>
      </c>
      <c r="B161" s="1">
        <v>2358000</v>
      </c>
      <c r="C161" s="1">
        <v>2718000</v>
      </c>
      <c r="D161" s="1">
        <v>3206000</v>
      </c>
      <c r="E161" s="1">
        <v>3537000</v>
      </c>
      <c r="F161" s="1">
        <v>3810605</v>
      </c>
      <c r="G161" s="1">
        <v>3724465</v>
      </c>
      <c r="H161" s="1">
        <v>3281590</v>
      </c>
      <c r="I161" s="2">
        <f t="shared" si="0"/>
        <v>39.168363019508057</v>
      </c>
      <c r="J161" s="1" t="str">
        <f t="shared" si="1"/>
        <v>Medium</v>
      </c>
    </row>
    <row r="162" spans="1:10" ht="12.75" x14ac:dyDescent="0.2">
      <c r="A162" s="1" t="s">
        <v>164</v>
      </c>
      <c r="B162" s="1">
        <v>36010</v>
      </c>
      <c r="C162" s="1">
        <v>116350</v>
      </c>
      <c r="D162" s="1">
        <v>275913</v>
      </c>
      <c r="E162" s="1">
        <v>440175</v>
      </c>
      <c r="F162" s="1">
        <v>644989</v>
      </c>
      <c r="G162" s="1">
        <v>1616832</v>
      </c>
      <c r="H162" s="1">
        <v>2794148</v>
      </c>
      <c r="I162" s="2">
        <f t="shared" si="0"/>
        <v>7659.3668425437372</v>
      </c>
      <c r="J162" s="1" t="str">
        <f t="shared" si="1"/>
        <v>Medium</v>
      </c>
    </row>
    <row r="163" spans="1:10" ht="12.75" x14ac:dyDescent="0.2">
      <c r="A163" s="1" t="s">
        <v>165</v>
      </c>
      <c r="B163" s="1">
        <v>18406905</v>
      </c>
      <c r="C163" s="1">
        <v>20250398</v>
      </c>
      <c r="D163" s="1">
        <v>22207282</v>
      </c>
      <c r="E163" s="1">
        <v>23201835</v>
      </c>
      <c r="F163" s="1">
        <v>22442971</v>
      </c>
      <c r="G163" s="1">
        <v>20246871</v>
      </c>
      <c r="H163" s="1">
        <v>19265250</v>
      </c>
      <c r="I163" s="2">
        <f t="shared" si="0"/>
        <v>4.6631685228994222</v>
      </c>
      <c r="J163" s="1" t="str">
        <f t="shared" si="1"/>
        <v>Large</v>
      </c>
    </row>
    <row r="164" spans="1:10" ht="12.75" x14ac:dyDescent="0.2">
      <c r="A164" s="1" t="s">
        <v>166</v>
      </c>
      <c r="B164" s="1">
        <v>119897000</v>
      </c>
      <c r="C164" s="1">
        <v>130404000</v>
      </c>
      <c r="D164" s="1">
        <v>139010000</v>
      </c>
      <c r="E164" s="1">
        <v>147969406</v>
      </c>
      <c r="F164" s="1">
        <v>146596869</v>
      </c>
      <c r="G164" s="1">
        <v>142849468</v>
      </c>
      <c r="H164" s="1">
        <v>145245148</v>
      </c>
      <c r="I164" s="2">
        <f t="shared" si="0"/>
        <v>21.141603209421419</v>
      </c>
      <c r="J164" s="1" t="str">
        <f t="shared" si="1"/>
        <v>Large</v>
      </c>
    </row>
    <row r="165" spans="1:10" ht="12.75" x14ac:dyDescent="0.2">
      <c r="A165" s="1" t="s">
        <v>167</v>
      </c>
      <c r="B165" s="1">
        <v>3022294</v>
      </c>
      <c r="C165" s="1">
        <v>3980669</v>
      </c>
      <c r="D165" s="1">
        <v>5353259</v>
      </c>
      <c r="E165" s="1">
        <v>7375307</v>
      </c>
      <c r="F165" s="1">
        <v>8213931</v>
      </c>
      <c r="G165" s="1">
        <v>10317553</v>
      </c>
      <c r="H165" s="1">
        <v>13065837</v>
      </c>
      <c r="I165" s="2">
        <f t="shared" si="0"/>
        <v>332.31522148407799</v>
      </c>
      <c r="J165" s="1" t="str">
        <f t="shared" si="1"/>
        <v>Large</v>
      </c>
    </row>
    <row r="166" spans="1:10" ht="12.75" x14ac:dyDescent="0.2">
      <c r="A166" s="1" t="s">
        <v>211</v>
      </c>
      <c r="B166" s="1">
        <v>112490</v>
      </c>
      <c r="C166" s="1">
        <v>140400</v>
      </c>
      <c r="D166" s="1">
        <v>164322</v>
      </c>
      <c r="E166" s="1">
        <v>169042</v>
      </c>
      <c r="F166" s="1">
        <v>181685</v>
      </c>
      <c r="G166" s="1">
        <v>193023</v>
      </c>
      <c r="H166" s="1">
        <v>211944</v>
      </c>
      <c r="I166" s="2">
        <f t="shared" si="0"/>
        <v>88.411414347942042</v>
      </c>
      <c r="J166" s="1" t="str">
        <f t="shared" si="1"/>
        <v>Small</v>
      </c>
    </row>
    <row r="167" spans="1:10" ht="12.75" x14ac:dyDescent="0.2">
      <c r="A167" s="1" t="s">
        <v>174</v>
      </c>
      <c r="B167" s="1">
        <v>15428</v>
      </c>
      <c r="C167" s="1">
        <v>18168</v>
      </c>
      <c r="D167" s="1">
        <v>21585</v>
      </c>
      <c r="E167" s="1">
        <v>23475</v>
      </c>
      <c r="F167" s="1">
        <v>26799</v>
      </c>
      <c r="G167" s="1">
        <v>33270</v>
      </c>
      <c r="H167" s="1">
        <v>34770</v>
      </c>
      <c r="I167" s="2">
        <f t="shared" si="0"/>
        <v>125.36945812807883</v>
      </c>
      <c r="J167" s="1" t="str">
        <f t="shared" si="1"/>
        <v>Small</v>
      </c>
    </row>
    <row r="168" spans="1:10" ht="12.75" x14ac:dyDescent="0.2">
      <c r="A168" s="1" t="s">
        <v>178</v>
      </c>
      <c r="B168" s="1">
        <v>68012</v>
      </c>
      <c r="C168" s="1">
        <v>77626</v>
      </c>
      <c r="D168" s="1">
        <v>98544</v>
      </c>
      <c r="E168" s="1">
        <v>122980</v>
      </c>
      <c r="F168" s="1">
        <v>144018</v>
      </c>
      <c r="G168" s="1">
        <v>181802</v>
      </c>
      <c r="H168" s="1">
        <v>217435</v>
      </c>
      <c r="I168" s="2">
        <f t="shared" si="0"/>
        <v>219.70093512909489</v>
      </c>
      <c r="J168" s="1" t="str">
        <f t="shared" si="1"/>
        <v>Small</v>
      </c>
    </row>
    <row r="169" spans="1:10" ht="12.75" x14ac:dyDescent="0.2">
      <c r="A169" s="1" t="s">
        <v>169</v>
      </c>
      <c r="B169" s="1">
        <v>3340907</v>
      </c>
      <c r="C169" s="1">
        <v>4466328</v>
      </c>
      <c r="D169" s="1">
        <v>5845638</v>
      </c>
      <c r="E169" s="1">
        <v>7720523</v>
      </c>
      <c r="F169" s="1">
        <v>9968260</v>
      </c>
      <c r="G169" s="1">
        <v>12635413</v>
      </c>
      <c r="H169" s="1">
        <v>16789219</v>
      </c>
      <c r="I169" s="2">
        <f t="shared" si="0"/>
        <v>402.53476077005433</v>
      </c>
      <c r="J169" s="1" t="str">
        <f t="shared" si="1"/>
        <v>Large</v>
      </c>
    </row>
    <row r="170" spans="1:10" ht="12.75" x14ac:dyDescent="0.2">
      <c r="A170" s="1" t="s">
        <v>176</v>
      </c>
      <c r="B170" s="1">
        <v>6638992</v>
      </c>
      <c r="C170" s="1">
        <v>7164993</v>
      </c>
      <c r="D170" s="1">
        <v>7709544</v>
      </c>
      <c r="E170" s="1">
        <v>7897937</v>
      </c>
      <c r="F170" s="1">
        <v>7516346</v>
      </c>
      <c r="G170" s="1">
        <v>7291436</v>
      </c>
      <c r="H170" s="1">
        <v>6899126</v>
      </c>
      <c r="I170" s="2">
        <f t="shared" si="0"/>
        <v>3.9182755454442484</v>
      </c>
      <c r="J170" s="1" t="str">
        <f t="shared" si="1"/>
        <v>Medium</v>
      </c>
    </row>
    <row r="171" spans="1:10" ht="12.75" x14ac:dyDescent="0.2">
      <c r="A171" s="1" t="s">
        <v>185</v>
      </c>
      <c r="B171" s="1">
        <v>41700</v>
      </c>
      <c r="C171" s="1">
        <v>53600</v>
      </c>
      <c r="D171" s="1">
        <v>63261</v>
      </c>
      <c r="E171" s="1">
        <v>69507</v>
      </c>
      <c r="F171" s="1">
        <v>81131</v>
      </c>
      <c r="G171" s="1">
        <v>89770</v>
      </c>
      <c r="H171" s="1">
        <v>98462</v>
      </c>
      <c r="I171" s="2">
        <f t="shared" si="0"/>
        <v>136.11990407673861</v>
      </c>
      <c r="J171" s="1" t="str">
        <f t="shared" si="1"/>
        <v>Small</v>
      </c>
    </row>
    <row r="172" spans="1:10" ht="12.75" x14ac:dyDescent="0.2">
      <c r="A172" s="1" t="s">
        <v>172</v>
      </c>
      <c r="B172" s="1">
        <v>2268356</v>
      </c>
      <c r="C172" s="1">
        <v>2712286</v>
      </c>
      <c r="D172" s="1">
        <v>3272089</v>
      </c>
      <c r="E172" s="1">
        <v>4196828</v>
      </c>
      <c r="F172" s="1">
        <v>4423611</v>
      </c>
      <c r="G172" s="1">
        <v>6222714</v>
      </c>
      <c r="H172" s="1">
        <v>7912558</v>
      </c>
      <c r="I172" s="2">
        <f t="shared" si="0"/>
        <v>248.82346509983441</v>
      </c>
      <c r="J172" s="1" t="str">
        <f t="shared" si="1"/>
        <v>Medium</v>
      </c>
    </row>
    <row r="173" spans="1:10" ht="12.75" x14ac:dyDescent="0.2">
      <c r="A173" s="1" t="s">
        <v>170</v>
      </c>
      <c r="B173" s="1">
        <v>1646400</v>
      </c>
      <c r="C173" s="1">
        <v>2074507</v>
      </c>
      <c r="D173" s="1">
        <v>2413945</v>
      </c>
      <c r="E173" s="1">
        <v>3047132</v>
      </c>
      <c r="F173" s="1">
        <v>4027887</v>
      </c>
      <c r="G173" s="1">
        <v>5076732</v>
      </c>
      <c r="H173" s="1">
        <v>5685807</v>
      </c>
      <c r="I173" s="2">
        <f t="shared" si="0"/>
        <v>245.34784985422741</v>
      </c>
      <c r="J173" s="1" t="str">
        <f t="shared" si="1"/>
        <v>Medium</v>
      </c>
    </row>
    <row r="174" spans="1:10" ht="12.75" x14ac:dyDescent="0.2">
      <c r="A174" s="1" t="s">
        <v>184</v>
      </c>
      <c r="B174" s="1">
        <v>2715</v>
      </c>
      <c r="C174" s="1">
        <v>6414</v>
      </c>
      <c r="D174" s="1">
        <v>12410</v>
      </c>
      <c r="E174" s="1">
        <v>28061</v>
      </c>
      <c r="F174" s="1">
        <v>30773</v>
      </c>
      <c r="G174" s="1">
        <v>33794</v>
      </c>
      <c r="H174" s="1">
        <v>41008</v>
      </c>
      <c r="I174" s="2">
        <f t="shared" si="0"/>
        <v>1410.4235727440148</v>
      </c>
      <c r="J174" s="1" t="str">
        <f t="shared" si="1"/>
        <v>Small</v>
      </c>
    </row>
    <row r="175" spans="1:10" ht="12.75" x14ac:dyDescent="0.2">
      <c r="A175" s="1" t="s">
        <v>180</v>
      </c>
      <c r="B175" s="1">
        <v>4068095</v>
      </c>
      <c r="C175" s="1">
        <v>4538223</v>
      </c>
      <c r="D175" s="1">
        <v>4979815</v>
      </c>
      <c r="E175" s="1">
        <v>5299187</v>
      </c>
      <c r="F175" s="1">
        <v>5388720</v>
      </c>
      <c r="G175" s="1">
        <v>5391428</v>
      </c>
      <c r="H175" s="1">
        <v>5458827</v>
      </c>
      <c r="I175" s="2">
        <f t="shared" si="0"/>
        <v>34.18632062427254</v>
      </c>
      <c r="J175" s="1" t="str">
        <f t="shared" si="1"/>
        <v>Medium</v>
      </c>
    </row>
    <row r="176" spans="1:10" ht="12.75" x14ac:dyDescent="0.2">
      <c r="A176" s="1" t="s">
        <v>181</v>
      </c>
      <c r="B176" s="1">
        <v>1584720</v>
      </c>
      <c r="C176" s="1">
        <v>1724891</v>
      </c>
      <c r="D176" s="1">
        <v>1901315</v>
      </c>
      <c r="E176" s="1">
        <v>1998161</v>
      </c>
      <c r="F176" s="1">
        <v>1988925</v>
      </c>
      <c r="G176" s="1">
        <v>2048583</v>
      </c>
      <c r="H176" s="1">
        <v>2102419</v>
      </c>
      <c r="I176" s="2">
        <f t="shared" si="0"/>
        <v>32.668168509263467</v>
      </c>
      <c r="J176" s="1" t="str">
        <f t="shared" si="1"/>
        <v>Medium</v>
      </c>
    </row>
    <row r="177" spans="1:10" ht="12.75" x14ac:dyDescent="0.2">
      <c r="A177" s="1" t="s">
        <v>171</v>
      </c>
      <c r="B177" s="1">
        <v>139688</v>
      </c>
      <c r="C177" s="1">
        <v>176579</v>
      </c>
      <c r="D177" s="1">
        <v>238135</v>
      </c>
      <c r="E177" s="1">
        <v>331435</v>
      </c>
      <c r="F177" s="1">
        <v>440469</v>
      </c>
      <c r="G177" s="1">
        <v>532968</v>
      </c>
      <c r="H177" s="1">
        <v>744498</v>
      </c>
      <c r="I177" s="2">
        <f t="shared" si="0"/>
        <v>432.97205200160357</v>
      </c>
      <c r="J177" s="1" t="str">
        <f t="shared" si="1"/>
        <v>Small</v>
      </c>
    </row>
    <row r="178" spans="1:10" ht="12.75" x14ac:dyDescent="0.2">
      <c r="A178" s="1" t="s">
        <v>175</v>
      </c>
      <c r="B178" s="1">
        <v>2876331</v>
      </c>
      <c r="C178" s="1">
        <v>3738448</v>
      </c>
      <c r="D178" s="1">
        <v>5936154</v>
      </c>
      <c r="E178" s="1">
        <v>7082811</v>
      </c>
      <c r="F178" s="1">
        <v>8838713</v>
      </c>
      <c r="G178" s="1">
        <v>12261756</v>
      </c>
      <c r="H178" s="1">
        <v>16651191</v>
      </c>
      <c r="I178" s="2">
        <f t="shared" si="0"/>
        <v>478.90385355510199</v>
      </c>
      <c r="J178" s="1" t="str">
        <f t="shared" si="1"/>
        <v>Large</v>
      </c>
    </row>
    <row r="179" spans="1:10" ht="12.75" x14ac:dyDescent="0.2">
      <c r="A179" s="1" t="s">
        <v>214</v>
      </c>
      <c r="B179" s="1">
        <v>16440172</v>
      </c>
      <c r="C179" s="1">
        <v>22279984</v>
      </c>
      <c r="D179" s="1">
        <v>29518857</v>
      </c>
      <c r="E179" s="1">
        <v>40746268</v>
      </c>
      <c r="F179" s="1">
        <v>47159719</v>
      </c>
      <c r="G179" s="1">
        <v>52344051</v>
      </c>
      <c r="H179" s="1">
        <v>60562381</v>
      </c>
      <c r="I179" s="2">
        <f t="shared" si="0"/>
        <v>268.38045854994704</v>
      </c>
      <c r="J179" s="1" t="str">
        <f t="shared" si="1"/>
        <v>Large</v>
      </c>
    </row>
    <row r="180" spans="1:10" ht="12.75" x14ac:dyDescent="0.2">
      <c r="A180" s="1" t="s">
        <v>177</v>
      </c>
      <c r="B180" s="1">
        <v>2931559</v>
      </c>
      <c r="C180" s="1">
        <v>3409614</v>
      </c>
      <c r="D180" s="1">
        <v>4339030</v>
      </c>
      <c r="E180" s="1">
        <v>4737633</v>
      </c>
      <c r="F180" s="1">
        <v>6032267</v>
      </c>
      <c r="G180" s="1">
        <v>9745953</v>
      </c>
      <c r="H180" s="1">
        <v>10698467</v>
      </c>
      <c r="I180" s="2">
        <f t="shared" si="0"/>
        <v>264.94121387289152</v>
      </c>
      <c r="J180" s="1" t="str">
        <f t="shared" si="1"/>
        <v>Large</v>
      </c>
    </row>
    <row r="181" spans="1:10" ht="12.75" x14ac:dyDescent="0.2">
      <c r="A181" s="1" t="s">
        <v>61</v>
      </c>
      <c r="B181" s="1">
        <v>30455000</v>
      </c>
      <c r="C181" s="1">
        <v>33814531</v>
      </c>
      <c r="D181" s="1">
        <v>37491165</v>
      </c>
      <c r="E181" s="1">
        <v>38867322</v>
      </c>
      <c r="F181" s="1">
        <v>40567864</v>
      </c>
      <c r="G181" s="1">
        <v>46576897</v>
      </c>
      <c r="H181" s="1">
        <v>47359424</v>
      </c>
      <c r="I181" s="2">
        <f t="shared" si="0"/>
        <v>55.506235429321947</v>
      </c>
      <c r="J181" s="1" t="str">
        <f t="shared" si="1"/>
        <v>Large</v>
      </c>
    </row>
    <row r="182" spans="1:10" ht="12.75" x14ac:dyDescent="0.2">
      <c r="A182" s="1" t="s">
        <v>114</v>
      </c>
      <c r="B182" s="1">
        <v>9661389</v>
      </c>
      <c r="C182" s="1">
        <v>12287110</v>
      </c>
      <c r="D182" s="1">
        <v>14847974</v>
      </c>
      <c r="E182" s="1">
        <v>16352458</v>
      </c>
      <c r="F182" s="1">
        <v>19293054</v>
      </c>
      <c r="G182" s="1">
        <v>20879089</v>
      </c>
      <c r="H182" s="1">
        <v>21919000</v>
      </c>
      <c r="I182" s="2">
        <f t="shared" si="0"/>
        <v>126.8721402274559</v>
      </c>
      <c r="J182" s="1" t="str">
        <f t="shared" si="1"/>
        <v>Large</v>
      </c>
    </row>
    <row r="183" spans="1:10" ht="12.75" x14ac:dyDescent="0.2">
      <c r="A183" s="1" t="s">
        <v>106</v>
      </c>
      <c r="B183" s="1">
        <v>55810</v>
      </c>
      <c r="C183" s="1">
        <v>44606</v>
      </c>
      <c r="D183" s="1">
        <v>42850</v>
      </c>
      <c r="E183" s="1">
        <v>40432</v>
      </c>
      <c r="F183" s="1">
        <v>45248</v>
      </c>
      <c r="G183" s="1">
        <v>46846</v>
      </c>
      <c r="H183" s="1">
        <v>46870</v>
      </c>
      <c r="I183" s="2">
        <f t="shared" si="0"/>
        <v>-16.01863465328794</v>
      </c>
      <c r="J183" s="1" t="str">
        <f t="shared" si="1"/>
        <v>Small</v>
      </c>
    </row>
    <row r="184" spans="1:10" ht="12.75" x14ac:dyDescent="0.2">
      <c r="A184" s="1" t="s">
        <v>112</v>
      </c>
      <c r="B184" s="1">
        <v>92585</v>
      </c>
      <c r="C184" s="1">
        <v>103165</v>
      </c>
      <c r="D184" s="1">
        <v>119290</v>
      </c>
      <c r="E184" s="1">
        <v>137857</v>
      </c>
      <c r="F184" s="1">
        <v>158616</v>
      </c>
      <c r="G184" s="1">
        <v>170906</v>
      </c>
      <c r="H184" s="1">
        <v>178250</v>
      </c>
      <c r="I184" s="2">
        <f t="shared" si="0"/>
        <v>92.525787114543391</v>
      </c>
      <c r="J184" s="1" t="str">
        <f t="shared" si="1"/>
        <v>Small</v>
      </c>
    </row>
    <row r="185" spans="1:10" ht="12.75" x14ac:dyDescent="0.2">
      <c r="A185" s="1" t="s">
        <v>120</v>
      </c>
      <c r="B185" s="1">
        <v>4250</v>
      </c>
      <c r="C185" s="1">
        <v>6047</v>
      </c>
      <c r="D185" s="1">
        <v>8288</v>
      </c>
      <c r="E185" s="1">
        <v>28224</v>
      </c>
      <c r="F185" s="1">
        <v>29996</v>
      </c>
      <c r="G185" s="1">
        <v>36856</v>
      </c>
      <c r="H185" s="1">
        <v>31786</v>
      </c>
      <c r="I185" s="2">
        <f t="shared" si="0"/>
        <v>647.90588235294115</v>
      </c>
      <c r="J185" s="1" t="str">
        <f t="shared" si="1"/>
        <v>Small</v>
      </c>
    </row>
    <row r="186" spans="1:10" ht="12.75" x14ac:dyDescent="0.2">
      <c r="A186" s="1" t="s">
        <v>205</v>
      </c>
      <c r="B186" s="1">
        <v>84388</v>
      </c>
      <c r="C186" s="1">
        <v>95964</v>
      </c>
      <c r="D186" s="1">
        <v>104213</v>
      </c>
      <c r="E186" s="1">
        <v>111812</v>
      </c>
      <c r="F186" s="1">
        <v>113545</v>
      </c>
      <c r="G186" s="1">
        <v>109959</v>
      </c>
      <c r="H186" s="1">
        <v>103526</v>
      </c>
      <c r="I186" s="2">
        <f t="shared" si="0"/>
        <v>22.678579892875764</v>
      </c>
      <c r="J186" s="1" t="str">
        <f t="shared" si="1"/>
        <v>Small</v>
      </c>
    </row>
    <row r="187" spans="1:10" ht="12.75" x14ac:dyDescent="0.2">
      <c r="A187" s="1" t="s">
        <v>168</v>
      </c>
      <c r="B187" s="1">
        <v>8364489</v>
      </c>
      <c r="C187" s="1">
        <v>11695771</v>
      </c>
      <c r="D187" s="1">
        <v>17058905</v>
      </c>
      <c r="E187" s="1">
        <v>22021481</v>
      </c>
      <c r="F187" s="1">
        <v>27816745</v>
      </c>
      <c r="G187" s="1">
        <v>35414399</v>
      </c>
      <c r="H187" s="1">
        <v>46789231</v>
      </c>
      <c r="I187" s="2">
        <f t="shared" si="0"/>
        <v>459.37943130775835</v>
      </c>
      <c r="J187" s="1" t="str">
        <f t="shared" si="1"/>
        <v>Large</v>
      </c>
    </row>
    <row r="188" spans="1:10" ht="12.75" x14ac:dyDescent="0.2">
      <c r="A188" s="1" t="s">
        <v>179</v>
      </c>
      <c r="B188" s="1">
        <v>263918</v>
      </c>
      <c r="C188" s="1">
        <v>379442</v>
      </c>
      <c r="D188" s="1">
        <v>375377</v>
      </c>
      <c r="E188" s="1">
        <v>412493</v>
      </c>
      <c r="F188" s="1">
        <v>476643</v>
      </c>
      <c r="G188" s="1">
        <v>549923</v>
      </c>
      <c r="H188" s="1">
        <v>612317</v>
      </c>
      <c r="I188" s="2">
        <f t="shared" si="0"/>
        <v>132.01032138770375</v>
      </c>
      <c r="J188" s="1" t="str">
        <f t="shared" si="1"/>
        <v>Small</v>
      </c>
    </row>
    <row r="189" spans="1:10" ht="12.75" x14ac:dyDescent="0.2">
      <c r="A189" s="1" t="s">
        <v>182</v>
      </c>
      <c r="B189" s="1">
        <v>7484656</v>
      </c>
      <c r="C189" s="1">
        <v>8042801</v>
      </c>
      <c r="D189" s="1">
        <v>8310531</v>
      </c>
      <c r="E189" s="1">
        <v>8558835</v>
      </c>
      <c r="F189" s="1">
        <v>8872109</v>
      </c>
      <c r="G189" s="1">
        <v>9378126</v>
      </c>
      <c r="H189" s="1">
        <v>10353442</v>
      </c>
      <c r="I189" s="2">
        <f t="shared" si="0"/>
        <v>38.328895810308452</v>
      </c>
      <c r="J189" s="1" t="str">
        <f t="shared" si="1"/>
        <v>Large</v>
      </c>
    </row>
    <row r="190" spans="1:10" ht="12.75" x14ac:dyDescent="0.2">
      <c r="A190" s="1" t="s">
        <v>35</v>
      </c>
      <c r="B190" s="1">
        <v>5327827</v>
      </c>
      <c r="C190" s="1">
        <v>6180877</v>
      </c>
      <c r="D190" s="1">
        <v>6319408</v>
      </c>
      <c r="E190" s="1">
        <v>6715519</v>
      </c>
      <c r="F190" s="1">
        <v>7184250</v>
      </c>
      <c r="G190" s="1">
        <v>7824909</v>
      </c>
      <c r="H190" s="1">
        <v>8638167</v>
      </c>
      <c r="I190" s="2">
        <f t="shared" si="0"/>
        <v>62.133023463412009</v>
      </c>
      <c r="J190" s="1" t="str">
        <f t="shared" si="1"/>
        <v>Medium</v>
      </c>
    </row>
    <row r="191" spans="1:10" ht="12.75" x14ac:dyDescent="0.2">
      <c r="A191" s="1" t="s">
        <v>186</v>
      </c>
      <c r="B191" s="1">
        <v>4673500</v>
      </c>
      <c r="C191" s="1">
        <v>6380609</v>
      </c>
      <c r="D191" s="1">
        <v>8957663</v>
      </c>
      <c r="E191" s="1">
        <v>12579208</v>
      </c>
      <c r="F191" s="1">
        <v>16637888</v>
      </c>
      <c r="G191" s="1">
        <v>22482421</v>
      </c>
      <c r="H191" s="1">
        <v>21049429</v>
      </c>
      <c r="I191" s="2">
        <f t="shared" si="0"/>
        <v>350.39967904140366</v>
      </c>
      <c r="J191" s="1" t="str">
        <f t="shared" si="1"/>
        <v>Large</v>
      </c>
    </row>
    <row r="192" spans="1:10" ht="12.75" x14ac:dyDescent="0.2">
      <c r="A192" s="1" t="s">
        <v>191</v>
      </c>
      <c r="B192" s="1">
        <v>2112131</v>
      </c>
      <c r="C192" s="1">
        <v>2936779</v>
      </c>
      <c r="D192" s="1">
        <v>3995256</v>
      </c>
      <c r="E192" s="1">
        <v>5398768</v>
      </c>
      <c r="F192" s="1">
        <v>6284735</v>
      </c>
      <c r="G192" s="1">
        <v>7652141</v>
      </c>
      <c r="H192" s="1">
        <v>9749310</v>
      </c>
      <c r="I192" s="2">
        <f t="shared" si="0"/>
        <v>361.5864262207221</v>
      </c>
      <c r="J192" s="1" t="str">
        <f t="shared" si="1"/>
        <v>Medium</v>
      </c>
    </row>
    <row r="193" spans="1:10" ht="12.75" x14ac:dyDescent="0.2">
      <c r="A193" s="1" t="s">
        <v>199</v>
      </c>
      <c r="B193" s="1">
        <v>9901419</v>
      </c>
      <c r="C193" s="1">
        <v>13492677</v>
      </c>
      <c r="D193" s="1">
        <v>19189769</v>
      </c>
      <c r="E193" s="1">
        <v>26110207</v>
      </c>
      <c r="F193" s="1">
        <v>34260139</v>
      </c>
      <c r="G193" s="1">
        <v>44758488</v>
      </c>
      <c r="H193" s="1">
        <v>60972798</v>
      </c>
      <c r="I193" s="2">
        <f t="shared" si="0"/>
        <v>515.79858402113871</v>
      </c>
      <c r="J193" s="1" t="str">
        <f t="shared" si="1"/>
        <v>Large</v>
      </c>
    </row>
    <row r="194" spans="1:10" ht="12.75" x14ac:dyDescent="0.2">
      <c r="A194" s="1" t="s">
        <v>190</v>
      </c>
      <c r="B194" s="1">
        <v>26851747</v>
      </c>
      <c r="C194" s="1">
        <v>35954408</v>
      </c>
      <c r="D194" s="1">
        <v>45650022</v>
      </c>
      <c r="E194" s="1">
        <v>54738329</v>
      </c>
      <c r="F194" s="1">
        <v>63007815</v>
      </c>
      <c r="G194" s="1">
        <v>68579447</v>
      </c>
      <c r="H194" s="1">
        <v>71641484</v>
      </c>
      <c r="I194" s="2">
        <f t="shared" si="0"/>
        <v>166.8038098228767</v>
      </c>
      <c r="J194" s="1" t="str">
        <f t="shared" si="1"/>
        <v>Large</v>
      </c>
    </row>
    <row r="195" spans="1:10" ht="12.75" x14ac:dyDescent="0.2">
      <c r="A195" s="1" t="s">
        <v>193</v>
      </c>
      <c r="B195" s="1">
        <v>468118</v>
      </c>
      <c r="C195" s="1">
        <v>553069</v>
      </c>
      <c r="D195" s="1">
        <v>649871</v>
      </c>
      <c r="E195" s="1">
        <v>760345</v>
      </c>
      <c r="F195" s="1">
        <v>745088</v>
      </c>
      <c r="G195" s="1">
        <v>1084679</v>
      </c>
      <c r="H195" s="1">
        <v>1326053</v>
      </c>
      <c r="I195" s="2">
        <f t="shared" si="0"/>
        <v>183.27323452633738</v>
      </c>
      <c r="J195" s="1" t="str">
        <f t="shared" si="1"/>
        <v>Medium</v>
      </c>
    </row>
    <row r="196" spans="1:10" ht="12.75" x14ac:dyDescent="0.2">
      <c r="A196" s="1" t="s">
        <v>189</v>
      </c>
      <c r="B196" s="1">
        <v>1673110</v>
      </c>
      <c r="C196" s="1">
        <v>2244773</v>
      </c>
      <c r="D196" s="1">
        <v>2920894</v>
      </c>
      <c r="E196" s="1">
        <v>3998761</v>
      </c>
      <c r="F196" s="1">
        <v>5140037</v>
      </c>
      <c r="G196" s="1">
        <v>6732590</v>
      </c>
      <c r="H196" s="1">
        <v>8669720</v>
      </c>
      <c r="I196" s="2">
        <f t="shared" si="0"/>
        <v>418.17991644303129</v>
      </c>
      <c r="J196" s="1" t="str">
        <f t="shared" si="1"/>
        <v>Medium</v>
      </c>
    </row>
    <row r="197" spans="1:10" ht="12.75" x14ac:dyDescent="0.2">
      <c r="A197" s="1" t="s">
        <v>194</v>
      </c>
      <c r="B197" s="1">
        <v>66170</v>
      </c>
      <c r="C197" s="1">
        <v>84401</v>
      </c>
      <c r="D197" s="1">
        <v>97769</v>
      </c>
      <c r="E197" s="1">
        <v>99700</v>
      </c>
      <c r="F197" s="1">
        <v>102677</v>
      </c>
      <c r="G197" s="1">
        <v>107400</v>
      </c>
      <c r="H197" s="1">
        <v>105704</v>
      </c>
      <c r="I197" s="2">
        <f t="shared" si="0"/>
        <v>59.746108508387486</v>
      </c>
      <c r="J197" s="1" t="str">
        <f t="shared" si="1"/>
        <v>Small</v>
      </c>
    </row>
    <row r="198" spans="1:10" ht="12.75" x14ac:dyDescent="0.2">
      <c r="A198" s="1" t="s">
        <v>195</v>
      </c>
      <c r="B198" s="1">
        <v>844943</v>
      </c>
      <c r="C198" s="1">
        <v>991471</v>
      </c>
      <c r="D198" s="1">
        <v>1121744</v>
      </c>
      <c r="E198" s="1">
        <v>1252208</v>
      </c>
      <c r="F198" s="1">
        <v>1319774</v>
      </c>
      <c r="G198" s="1">
        <v>1317714</v>
      </c>
      <c r="H198" s="1">
        <v>1366725</v>
      </c>
      <c r="I198" s="2">
        <f t="shared" si="0"/>
        <v>61.75351473413</v>
      </c>
      <c r="J198" s="1" t="str">
        <f t="shared" si="1"/>
        <v>Medium</v>
      </c>
    </row>
    <row r="199" spans="1:10" ht="12.75" x14ac:dyDescent="0.2">
      <c r="A199" s="1" t="s">
        <v>196</v>
      </c>
      <c r="B199" s="1">
        <v>4267288</v>
      </c>
      <c r="C199" s="1">
        <v>5131396</v>
      </c>
      <c r="D199" s="1">
        <v>6606195</v>
      </c>
      <c r="E199" s="1">
        <v>8324509</v>
      </c>
      <c r="F199" s="1">
        <v>9764935</v>
      </c>
      <c r="G199" s="1">
        <v>10765980</v>
      </c>
      <c r="H199" s="1">
        <v>11974057</v>
      </c>
      <c r="I199" s="2">
        <f t="shared" si="0"/>
        <v>180.60109840254512</v>
      </c>
      <c r="J199" s="1" t="str">
        <f t="shared" si="1"/>
        <v>Large</v>
      </c>
    </row>
    <row r="200" spans="1:10" ht="12.75" x14ac:dyDescent="0.2">
      <c r="A200" s="1" t="s">
        <v>197</v>
      </c>
      <c r="B200" s="1">
        <v>28329898</v>
      </c>
      <c r="C200" s="1">
        <v>36638465</v>
      </c>
      <c r="D200" s="1">
        <v>45408815</v>
      </c>
      <c r="E200" s="1">
        <v>56015628</v>
      </c>
      <c r="F200" s="1">
        <v>65425961</v>
      </c>
      <c r="G200" s="1">
        <v>73142150</v>
      </c>
      <c r="H200" s="1">
        <v>83384680</v>
      </c>
      <c r="I200" s="2">
        <f t="shared" si="0"/>
        <v>194.33455778767717</v>
      </c>
      <c r="J200" s="1" t="str">
        <f t="shared" si="1"/>
        <v>Large</v>
      </c>
    </row>
    <row r="201" spans="1:10" ht="12.75" x14ac:dyDescent="0.2">
      <c r="A201" s="1" t="s">
        <v>192</v>
      </c>
      <c r="B201" s="1">
        <v>1643457</v>
      </c>
      <c r="C201" s="1">
        <v>2195616</v>
      </c>
      <c r="D201" s="1">
        <v>2832203</v>
      </c>
      <c r="E201" s="1">
        <v>3760562</v>
      </c>
      <c r="F201" s="1">
        <v>4582677</v>
      </c>
      <c r="G201" s="1">
        <v>5564356</v>
      </c>
      <c r="H201" s="1">
        <v>6949912</v>
      </c>
      <c r="I201" s="2">
        <f t="shared" si="0"/>
        <v>322.88371402476611</v>
      </c>
      <c r="J201" s="1" t="str">
        <f t="shared" si="1"/>
        <v>Medium</v>
      </c>
    </row>
    <row r="202" spans="1:10" ht="12.75" x14ac:dyDescent="0.2">
      <c r="A202" s="1" t="s">
        <v>187</v>
      </c>
      <c r="B202" s="1">
        <v>5599</v>
      </c>
      <c r="C202" s="1">
        <v>5667</v>
      </c>
      <c r="D202" s="1">
        <v>7564</v>
      </c>
      <c r="E202" s="1">
        <v>11688</v>
      </c>
      <c r="F202" s="1">
        <v>18730</v>
      </c>
      <c r="G202" s="1">
        <v>29739</v>
      </c>
      <c r="H202" s="1">
        <v>44386</v>
      </c>
      <c r="I202" s="2">
        <f t="shared" si="0"/>
        <v>692.74870512591531</v>
      </c>
      <c r="J202" s="1" t="str">
        <f t="shared" si="1"/>
        <v>Small</v>
      </c>
    </row>
    <row r="203" spans="1:10" ht="12.75" x14ac:dyDescent="0.2">
      <c r="A203" s="1" t="s">
        <v>198</v>
      </c>
      <c r="B203" s="1">
        <v>5598</v>
      </c>
      <c r="C203" s="1">
        <v>5663</v>
      </c>
      <c r="D203" s="1">
        <v>7366</v>
      </c>
      <c r="E203" s="1">
        <v>8798</v>
      </c>
      <c r="F203" s="1">
        <v>9544</v>
      </c>
      <c r="G203" s="1">
        <v>10614</v>
      </c>
      <c r="H203" s="1">
        <v>10399</v>
      </c>
      <c r="I203" s="2">
        <f t="shared" si="0"/>
        <v>85.762772418720971</v>
      </c>
      <c r="J203" s="1" t="str">
        <f t="shared" si="1"/>
        <v>Small</v>
      </c>
    </row>
    <row r="204" spans="1:10" ht="12.75" x14ac:dyDescent="0.2">
      <c r="A204" s="1" t="s">
        <v>200</v>
      </c>
      <c r="B204" s="1">
        <v>7640973</v>
      </c>
      <c r="C204" s="1">
        <v>10321603</v>
      </c>
      <c r="D204" s="1">
        <v>13275741</v>
      </c>
      <c r="E204" s="1">
        <v>17569897</v>
      </c>
      <c r="F204" s="1">
        <v>24000150</v>
      </c>
      <c r="G204" s="1">
        <v>32390802</v>
      </c>
      <c r="H204" s="1">
        <v>44457152</v>
      </c>
      <c r="I204" s="2">
        <f t="shared" si="0"/>
        <v>481.82579626966356</v>
      </c>
      <c r="J204" s="1" t="str">
        <f t="shared" si="1"/>
        <v>Large</v>
      </c>
    </row>
    <row r="205" spans="1:10" ht="12.75" x14ac:dyDescent="0.2">
      <c r="A205" s="1" t="s">
        <v>201</v>
      </c>
      <c r="B205" s="1">
        <v>42824093</v>
      </c>
      <c r="C205" s="1">
        <v>47261306</v>
      </c>
      <c r="D205" s="1">
        <v>49955152</v>
      </c>
      <c r="E205" s="1">
        <v>52054092</v>
      </c>
      <c r="F205" s="1">
        <v>49556660</v>
      </c>
      <c r="G205" s="1">
        <v>46456003</v>
      </c>
      <c r="H205" s="1">
        <v>44680014</v>
      </c>
      <c r="I205" s="2">
        <f t="shared" si="0"/>
        <v>4.3338244198190026</v>
      </c>
      <c r="J205" s="1" t="str">
        <f t="shared" si="1"/>
        <v>Large</v>
      </c>
    </row>
    <row r="206" spans="1:10" ht="12.75" x14ac:dyDescent="0.2">
      <c r="A206" s="1" t="s">
        <v>6</v>
      </c>
      <c r="B206" s="1">
        <v>131334</v>
      </c>
      <c r="C206" s="1">
        <v>286536</v>
      </c>
      <c r="D206" s="1">
        <v>1015700</v>
      </c>
      <c r="E206" s="1">
        <v>1898220</v>
      </c>
      <c r="F206" s="1">
        <v>3493575</v>
      </c>
      <c r="G206" s="1">
        <v>6869838</v>
      </c>
      <c r="H206" s="1">
        <v>9401038</v>
      </c>
      <c r="I206" s="2">
        <f t="shared" si="0"/>
        <v>7058.1144258150971</v>
      </c>
      <c r="J206" s="1" t="str">
        <f t="shared" si="1"/>
        <v>Medium</v>
      </c>
    </row>
    <row r="207" spans="1:10" ht="12.75" x14ac:dyDescent="0.2">
      <c r="A207" s="1" t="s">
        <v>70</v>
      </c>
      <c r="B207" s="1">
        <v>52400000</v>
      </c>
      <c r="C207" s="1">
        <v>55663250</v>
      </c>
      <c r="D207" s="1">
        <v>56314216</v>
      </c>
      <c r="E207" s="1">
        <v>57247586</v>
      </c>
      <c r="F207" s="1">
        <v>58892514</v>
      </c>
      <c r="G207" s="1">
        <v>62766365</v>
      </c>
      <c r="H207" s="1">
        <v>66744000</v>
      </c>
      <c r="I207" s="2">
        <f t="shared" si="0"/>
        <v>27.374045801526719</v>
      </c>
      <c r="J207" s="1" t="str">
        <f t="shared" si="1"/>
        <v>Large</v>
      </c>
    </row>
    <row r="208" spans="1:10" ht="12.75" x14ac:dyDescent="0.2">
      <c r="A208" s="1" t="s">
        <v>203</v>
      </c>
      <c r="B208" s="1">
        <v>180671000</v>
      </c>
      <c r="C208" s="1">
        <v>205052000</v>
      </c>
      <c r="D208" s="1">
        <v>227225000</v>
      </c>
      <c r="E208" s="1">
        <v>249623000</v>
      </c>
      <c r="F208" s="1">
        <v>282162411</v>
      </c>
      <c r="G208" s="1">
        <v>309378227</v>
      </c>
      <c r="H208" s="1">
        <v>331577720</v>
      </c>
      <c r="I208" s="2">
        <f t="shared" si="0"/>
        <v>83.525701413065732</v>
      </c>
      <c r="J208" s="1" t="str">
        <f t="shared" si="1"/>
        <v>Large</v>
      </c>
    </row>
    <row r="209" spans="1:10" ht="12.75" x14ac:dyDescent="0.2">
      <c r="A209" s="1" t="s">
        <v>202</v>
      </c>
      <c r="B209" s="1">
        <v>2529957</v>
      </c>
      <c r="C209" s="1">
        <v>2790807</v>
      </c>
      <c r="D209" s="1">
        <v>2951953</v>
      </c>
      <c r="E209" s="1">
        <v>3104403</v>
      </c>
      <c r="F209" s="1">
        <v>3266206</v>
      </c>
      <c r="G209" s="1">
        <v>3318580</v>
      </c>
      <c r="H209" s="1">
        <v>3398968</v>
      </c>
      <c r="I209" s="2">
        <f t="shared" si="0"/>
        <v>34.348844664158321</v>
      </c>
      <c r="J209" s="1" t="str">
        <f t="shared" si="1"/>
        <v>Medium</v>
      </c>
    </row>
    <row r="210" spans="1:10" ht="12.75" x14ac:dyDescent="0.2">
      <c r="A210" s="1" t="s">
        <v>204</v>
      </c>
      <c r="B210" s="1">
        <v>8209109</v>
      </c>
      <c r="C210" s="1">
        <v>11762638</v>
      </c>
      <c r="D210" s="1">
        <v>15619936</v>
      </c>
      <c r="E210" s="1">
        <v>20464956</v>
      </c>
      <c r="F210" s="1">
        <v>24787054</v>
      </c>
      <c r="G210" s="1">
        <v>28385506</v>
      </c>
      <c r="H210" s="1">
        <v>33586372</v>
      </c>
      <c r="I210" s="2">
        <f t="shared" si="0"/>
        <v>309.13541286880218</v>
      </c>
      <c r="J210" s="1" t="str">
        <f t="shared" si="1"/>
        <v>Large</v>
      </c>
    </row>
    <row r="211" spans="1:10" ht="12.75" x14ac:dyDescent="0.2">
      <c r="A211" s="1" t="s">
        <v>210</v>
      </c>
      <c r="B211" s="1">
        <v>64431</v>
      </c>
      <c r="C211" s="1">
        <v>86266</v>
      </c>
      <c r="D211" s="1">
        <v>115660</v>
      </c>
      <c r="E211" s="1">
        <v>148063</v>
      </c>
      <c r="F211" s="1">
        <v>186281</v>
      </c>
      <c r="G211" s="1">
        <v>238248</v>
      </c>
      <c r="H211" s="1">
        <v>298858</v>
      </c>
      <c r="I211" s="2">
        <f t="shared" si="0"/>
        <v>363.84193943908991</v>
      </c>
      <c r="J211" s="1" t="str">
        <f t="shared" si="1"/>
        <v>Small</v>
      </c>
    </row>
    <row r="212" spans="1:10" ht="12.75" x14ac:dyDescent="0.2">
      <c r="A212" s="1" t="s">
        <v>206</v>
      </c>
      <c r="B212" s="1">
        <v>8160090</v>
      </c>
      <c r="C212" s="1">
        <v>11387790</v>
      </c>
      <c r="D212" s="1">
        <v>15258218</v>
      </c>
      <c r="E212" s="1">
        <v>19827010</v>
      </c>
      <c r="F212" s="1">
        <v>24526708</v>
      </c>
      <c r="G212" s="1">
        <v>28813101</v>
      </c>
      <c r="H212" s="1">
        <v>28444077</v>
      </c>
      <c r="I212" s="2">
        <f t="shared" si="0"/>
        <v>248.57553041694391</v>
      </c>
      <c r="J212" s="1" t="str">
        <f t="shared" si="1"/>
        <v>Large</v>
      </c>
    </row>
    <row r="213" spans="1:10" ht="12.75" x14ac:dyDescent="0.2">
      <c r="A213" s="1" t="s">
        <v>209</v>
      </c>
      <c r="B213" s="1">
        <v>32531933</v>
      </c>
      <c r="C213" s="1">
        <v>41475230</v>
      </c>
      <c r="D213" s="1">
        <v>52490101</v>
      </c>
      <c r="E213" s="1">
        <v>65504552</v>
      </c>
      <c r="F213" s="1">
        <v>77154011</v>
      </c>
      <c r="G213" s="1">
        <v>87455152</v>
      </c>
      <c r="H213" s="1">
        <v>98079191</v>
      </c>
      <c r="I213" s="2">
        <f t="shared" si="0"/>
        <v>201.4859000232172</v>
      </c>
      <c r="J213" s="1" t="str">
        <f t="shared" si="1"/>
        <v>Large</v>
      </c>
    </row>
    <row r="214" spans="1:10" ht="12.75" x14ac:dyDescent="0.2">
      <c r="A214" s="1" t="s">
        <v>208</v>
      </c>
      <c r="B214" s="1">
        <v>32500</v>
      </c>
      <c r="C214" s="1">
        <v>63476</v>
      </c>
      <c r="D214" s="1">
        <v>99636</v>
      </c>
      <c r="E214" s="1">
        <v>103963</v>
      </c>
      <c r="F214" s="1">
        <v>108642</v>
      </c>
      <c r="G214" s="1">
        <v>108357</v>
      </c>
      <c r="H214" s="1">
        <v>106290</v>
      </c>
      <c r="I214" s="2">
        <f t="shared" si="0"/>
        <v>227.04615384615386</v>
      </c>
      <c r="J214" s="1" t="str">
        <f t="shared" si="1"/>
        <v>Small</v>
      </c>
    </row>
    <row r="215" spans="1:10" ht="12.75" x14ac:dyDescent="0.2">
      <c r="A215" s="1" t="s">
        <v>162</v>
      </c>
      <c r="B215" s="1"/>
      <c r="C215" s="1"/>
      <c r="D215" s="1"/>
      <c r="E215" s="1">
        <v>1978248</v>
      </c>
      <c r="F215" s="1">
        <v>2922153</v>
      </c>
      <c r="G215" s="1">
        <v>3786161</v>
      </c>
      <c r="H215" s="1">
        <v>4803269</v>
      </c>
      <c r="I215" s="2">
        <f>(H215-E215)/E215*100</f>
        <v>142.80418835252203</v>
      </c>
      <c r="J215" s="1" t="str">
        <f t="shared" si="1"/>
        <v>Medium</v>
      </c>
    </row>
    <row r="216" spans="1:10" ht="12.75" x14ac:dyDescent="0.2">
      <c r="A216" s="1" t="s">
        <v>213</v>
      </c>
      <c r="B216" s="1">
        <v>5532301</v>
      </c>
      <c r="C216" s="1">
        <v>7065279</v>
      </c>
      <c r="D216" s="1">
        <v>9543358</v>
      </c>
      <c r="E216" s="1">
        <v>13887862</v>
      </c>
      <c r="F216" s="1">
        <v>19624141</v>
      </c>
      <c r="G216" s="1">
        <v>26754387</v>
      </c>
      <c r="H216" s="1">
        <v>36134863</v>
      </c>
      <c r="I216" s="2">
        <f t="shared" ref="I216:I218" si="2">(H216-B216)/B216*100</f>
        <v>553.16155068207604</v>
      </c>
      <c r="J216" s="1" t="str">
        <f t="shared" si="1"/>
        <v>Large</v>
      </c>
    </row>
    <row r="217" spans="1:10" ht="12.75" x14ac:dyDescent="0.2">
      <c r="A217" s="1" t="s">
        <v>215</v>
      </c>
      <c r="B217" s="1">
        <v>3153729</v>
      </c>
      <c r="C217" s="1">
        <v>4321718</v>
      </c>
      <c r="D217" s="1">
        <v>5802833</v>
      </c>
      <c r="E217" s="1">
        <v>7786169</v>
      </c>
      <c r="F217" s="1">
        <v>10017631</v>
      </c>
      <c r="G217" s="1">
        <v>13965594</v>
      </c>
      <c r="H217" s="1">
        <v>19059395</v>
      </c>
      <c r="I217" s="2">
        <f t="shared" si="2"/>
        <v>504.34472968349536</v>
      </c>
      <c r="J217" s="1" t="str">
        <f t="shared" si="1"/>
        <v>Large</v>
      </c>
    </row>
    <row r="218" spans="1:10" ht="12.75" x14ac:dyDescent="0.2">
      <c r="A218" s="1" t="s">
        <v>216</v>
      </c>
      <c r="B218" s="1">
        <v>3809389</v>
      </c>
      <c r="C218" s="1">
        <v>5215918</v>
      </c>
      <c r="D218" s="1">
        <v>7041303</v>
      </c>
      <c r="E218" s="1">
        <v>10137281</v>
      </c>
      <c r="F218" s="1">
        <v>11892055</v>
      </c>
      <c r="G218" s="1">
        <v>13356548</v>
      </c>
      <c r="H218" s="1">
        <v>15526888</v>
      </c>
      <c r="I218" s="2">
        <f t="shared" si="2"/>
        <v>307.59523377633525</v>
      </c>
      <c r="J218" s="1" t="str">
        <f t="shared" si="1"/>
        <v>Large</v>
      </c>
    </row>
  </sheetData>
  <mergeCells count="5">
    <mergeCell ref="B1:H1"/>
    <mergeCell ref="A1:A2"/>
    <mergeCell ref="I1:I2"/>
    <mergeCell ref="J1:J2"/>
    <mergeCell ref="L18:M18"/>
  </mergeCells>
  <conditionalFormatting sqref="A1:I2">
    <cfRule type="notContainsBlanks" dxfId="0" priority="1">
      <formula>LEN(TRIM(A1))&gt;0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18"/>
  <sheetViews>
    <sheetView showGridLines="0" workbookViewId="0"/>
  </sheetViews>
  <sheetFormatPr defaultColWidth="12.5703125" defaultRowHeight="15.75" customHeight="1" x14ac:dyDescent="0.2"/>
  <sheetData>
    <row r="1" spans="1:7" x14ac:dyDescent="0.2">
      <c r="A1" s="1" t="s">
        <v>219</v>
      </c>
      <c r="B1" s="1" t="s">
        <v>0</v>
      </c>
      <c r="C1" s="1" t="s">
        <v>218</v>
      </c>
      <c r="D1" s="1"/>
      <c r="F1" s="19" t="s">
        <v>271</v>
      </c>
      <c r="G1" s="10"/>
    </row>
    <row r="2" spans="1:7" x14ac:dyDescent="0.2">
      <c r="A2" s="1"/>
      <c r="B2" s="1"/>
      <c r="C2" s="1"/>
      <c r="D2" s="1"/>
      <c r="F2" s="17" t="s">
        <v>272</v>
      </c>
      <c r="G2" s="18">
        <f>AVERAGE(C3:C93)</f>
        <v>262.28327241623657</v>
      </c>
    </row>
    <row r="3" spans="1:7" x14ac:dyDescent="0.2">
      <c r="A3" s="1" t="s">
        <v>272</v>
      </c>
      <c r="B3" s="1" t="s">
        <v>2</v>
      </c>
      <c r="C3" s="2">
        <v>332.41608257979516</v>
      </c>
      <c r="D3" s="1"/>
      <c r="F3" s="17" t="s">
        <v>273</v>
      </c>
      <c r="G3" s="18">
        <f>AVERAGE(C94:C161)</f>
        <v>432.89858620241387</v>
      </c>
    </row>
    <row r="4" spans="1:7" x14ac:dyDescent="0.2">
      <c r="A4" s="1"/>
      <c r="B4" s="1" t="s">
        <v>57</v>
      </c>
      <c r="C4" s="2">
        <v>285.49139328916209</v>
      </c>
      <c r="D4" s="1"/>
      <c r="F4" s="17" t="s">
        <v>274</v>
      </c>
      <c r="G4" s="18">
        <f>AVERAGE(C162:C218)</f>
        <v>213.9732915924572</v>
      </c>
    </row>
    <row r="5" spans="1:7" x14ac:dyDescent="0.2">
      <c r="A5" s="1"/>
      <c r="B5" s="1" t="s">
        <v>3</v>
      </c>
      <c r="C5" s="2">
        <v>539.39878287057979</v>
      </c>
      <c r="D5" s="1"/>
    </row>
    <row r="6" spans="1:7" x14ac:dyDescent="0.2">
      <c r="A6" s="1"/>
      <c r="B6" s="1" t="s">
        <v>7</v>
      </c>
      <c r="C6" s="2">
        <v>121.68088513490478</v>
      </c>
      <c r="D6" s="1"/>
    </row>
    <row r="7" spans="1:7" x14ac:dyDescent="0.2">
      <c r="A7" s="1"/>
      <c r="B7" s="1" t="s">
        <v>11</v>
      </c>
      <c r="C7" s="2">
        <v>149.59183969370048</v>
      </c>
      <c r="D7" s="1"/>
    </row>
    <row r="8" spans="1:7" x14ac:dyDescent="0.2">
      <c r="A8" s="1"/>
      <c r="B8" s="1" t="s">
        <v>13</v>
      </c>
      <c r="C8" s="2">
        <v>159.16346129156503</v>
      </c>
      <c r="D8" s="1"/>
    </row>
    <row r="9" spans="1:7" x14ac:dyDescent="0.2">
      <c r="A9" s="1"/>
      <c r="B9" s="1" t="s">
        <v>18</v>
      </c>
      <c r="C9" s="2">
        <v>220.86112973015318</v>
      </c>
      <c r="D9" s="1"/>
    </row>
    <row r="10" spans="1:7" x14ac:dyDescent="0.2">
      <c r="A10" s="1"/>
      <c r="B10" s="1" t="s">
        <v>15</v>
      </c>
      <c r="C10" s="2">
        <v>26.056894808089027</v>
      </c>
      <c r="D10" s="1"/>
    </row>
    <row r="11" spans="1:7" x14ac:dyDescent="0.2">
      <c r="A11" s="1"/>
      <c r="B11" s="1" t="s">
        <v>16</v>
      </c>
      <c r="C11" s="2">
        <v>419.21668813158294</v>
      </c>
      <c r="D11" s="1"/>
    </row>
    <row r="12" spans="1:7" x14ac:dyDescent="0.2">
      <c r="A12" s="1"/>
      <c r="B12" s="1" t="s">
        <v>26</v>
      </c>
      <c r="C12" s="2">
        <v>219.15905230310807</v>
      </c>
      <c r="D12" s="1"/>
    </row>
    <row r="13" spans="1:7" x14ac:dyDescent="0.2">
      <c r="A13" s="1"/>
      <c r="B13" s="1" t="s">
        <v>27</v>
      </c>
      <c r="C13" s="2">
        <v>188.25285793418661</v>
      </c>
      <c r="D13" s="1"/>
    </row>
    <row r="14" spans="1:7" x14ac:dyDescent="0.2">
      <c r="A14" s="1"/>
      <c r="B14" s="1" t="s">
        <v>17</v>
      </c>
      <c r="C14" s="2">
        <v>349.47464969496428</v>
      </c>
      <c r="D14" s="1"/>
    </row>
    <row r="15" spans="1:7" x14ac:dyDescent="0.2">
      <c r="A15" s="1"/>
      <c r="B15" s="1" t="s">
        <v>14</v>
      </c>
      <c r="C15" s="2">
        <v>356.43481903642862</v>
      </c>
      <c r="D15" s="1"/>
    </row>
    <row r="16" spans="1:7" x14ac:dyDescent="0.2">
      <c r="A16" s="1"/>
      <c r="B16" s="1" t="s">
        <v>104</v>
      </c>
      <c r="C16" s="2">
        <v>206.89134574417528</v>
      </c>
      <c r="D16" s="1"/>
    </row>
    <row r="17" spans="1:4" x14ac:dyDescent="0.2">
      <c r="A17" s="1"/>
      <c r="B17" s="1" t="s">
        <v>40</v>
      </c>
      <c r="C17" s="2">
        <v>408.04939739956347</v>
      </c>
      <c r="D17" s="1"/>
    </row>
    <row r="18" spans="1:4" x14ac:dyDescent="0.2">
      <c r="A18" s="1"/>
      <c r="B18" s="1" t="s">
        <v>33</v>
      </c>
      <c r="C18" s="2">
        <v>112.33950567513426</v>
      </c>
      <c r="D18" s="1"/>
    </row>
    <row r="19" spans="1:4" x14ac:dyDescent="0.2">
      <c r="A19" s="1"/>
      <c r="B19" s="1" t="s">
        <v>34</v>
      </c>
      <c r="C19" s="2">
        <v>10.737760878238625</v>
      </c>
      <c r="D19" s="1"/>
    </row>
    <row r="20" spans="1:4" x14ac:dyDescent="0.2">
      <c r="A20" s="1"/>
      <c r="B20" s="1" t="s">
        <v>188</v>
      </c>
      <c r="C20" s="2">
        <v>464.77357157986756</v>
      </c>
      <c r="D20" s="1"/>
    </row>
    <row r="21" spans="1:4" x14ac:dyDescent="0.2">
      <c r="A21" s="1"/>
      <c r="B21" s="1" t="s">
        <v>37</v>
      </c>
      <c r="C21" s="2">
        <v>137.57871304433147</v>
      </c>
      <c r="D21" s="1"/>
    </row>
    <row r="22" spans="1:4" x14ac:dyDescent="0.2">
      <c r="A22" s="1"/>
      <c r="B22" s="1" t="s">
        <v>38</v>
      </c>
      <c r="C22" s="2">
        <v>111.53702010283779</v>
      </c>
      <c r="D22" s="1"/>
    </row>
    <row r="23" spans="1:4" x14ac:dyDescent="0.2">
      <c r="A23" s="1"/>
      <c r="B23" s="1" t="s">
        <v>43</v>
      </c>
      <c r="C23" s="2">
        <v>224.4221386500719</v>
      </c>
      <c r="D23" s="1"/>
    </row>
    <row r="24" spans="1:4" x14ac:dyDescent="0.2">
      <c r="A24" s="1"/>
      <c r="B24" s="1" t="s">
        <v>41</v>
      </c>
      <c r="C24" s="2">
        <v>528.83043825008122</v>
      </c>
      <c r="D24" s="1"/>
    </row>
    <row r="25" spans="1:4" x14ac:dyDescent="0.2">
      <c r="A25" s="1"/>
      <c r="B25" s="1" t="s">
        <v>39</v>
      </c>
      <c r="C25" s="2">
        <v>687.1006509573815</v>
      </c>
      <c r="D25" s="1"/>
    </row>
    <row r="26" spans="1:4" x14ac:dyDescent="0.2">
      <c r="A26" s="1"/>
      <c r="B26" s="1" t="s">
        <v>47</v>
      </c>
      <c r="C26" s="2">
        <v>54.41045768899243</v>
      </c>
      <c r="D26" s="1"/>
    </row>
    <row r="27" spans="1:4" x14ac:dyDescent="0.2">
      <c r="A27" s="1"/>
      <c r="B27" s="1" t="s">
        <v>51</v>
      </c>
      <c r="C27" s="2">
        <v>11.41274021282636</v>
      </c>
      <c r="D27" s="1"/>
    </row>
    <row r="28" spans="1:4" x14ac:dyDescent="0.2">
      <c r="A28" s="1"/>
      <c r="B28" s="1" t="s">
        <v>56</v>
      </c>
      <c r="C28" s="2">
        <v>236.81665532552344</v>
      </c>
      <c r="D28" s="1"/>
    </row>
    <row r="29" spans="1:4" x14ac:dyDescent="0.2">
      <c r="A29" s="1"/>
      <c r="B29" s="1" t="s">
        <v>58</v>
      </c>
      <c r="C29" s="2">
        <v>282.1930209190329</v>
      </c>
      <c r="D29" s="1"/>
    </row>
    <row r="30" spans="1:4" x14ac:dyDescent="0.2">
      <c r="A30" s="1"/>
      <c r="B30" s="1" t="s">
        <v>59</v>
      </c>
      <c r="C30" s="2">
        <v>306.42912405002903</v>
      </c>
      <c r="D30" s="1"/>
    </row>
    <row r="31" spans="1:4" x14ac:dyDescent="0.2">
      <c r="A31" s="1"/>
      <c r="B31" s="1" t="s">
        <v>63</v>
      </c>
      <c r="C31" s="2">
        <v>456.29592004712799</v>
      </c>
      <c r="D31" s="1"/>
    </row>
    <row r="32" spans="1:4" x14ac:dyDescent="0.2">
      <c r="A32" s="1"/>
      <c r="B32" s="1" t="s">
        <v>66</v>
      </c>
      <c r="C32" s="2">
        <v>42.579379766259713</v>
      </c>
      <c r="D32" s="1"/>
    </row>
    <row r="33" spans="1:4" x14ac:dyDescent="0.2">
      <c r="A33" s="1"/>
      <c r="B33" s="1" t="s">
        <v>52</v>
      </c>
      <c r="C33" s="2">
        <v>14.208590549461716</v>
      </c>
      <c r="D33" s="1"/>
    </row>
    <row r="34" spans="1:4" x14ac:dyDescent="0.2">
      <c r="A34" s="1"/>
      <c r="B34" s="1" t="s">
        <v>72</v>
      </c>
      <c r="C34" s="2">
        <v>358.07820904827679</v>
      </c>
      <c r="D34" s="1"/>
    </row>
    <row r="35" spans="1:4" x14ac:dyDescent="0.2">
      <c r="A35" s="1"/>
      <c r="B35" s="1" t="s">
        <v>78</v>
      </c>
      <c r="C35" s="2">
        <v>28.4079707383525</v>
      </c>
      <c r="D35" s="1"/>
    </row>
    <row r="36" spans="1:4" x14ac:dyDescent="0.2">
      <c r="A36" s="1"/>
      <c r="B36" s="1" t="s">
        <v>81</v>
      </c>
      <c r="C36" s="2">
        <v>327.13579277768412</v>
      </c>
      <c r="D36" s="1"/>
    </row>
    <row r="37" spans="1:4" x14ac:dyDescent="0.2">
      <c r="A37" s="1"/>
      <c r="B37" s="1" t="s">
        <v>74</v>
      </c>
      <c r="C37" s="2">
        <v>275.93833582296645</v>
      </c>
      <c r="D37" s="1"/>
    </row>
    <row r="38" spans="1:4" x14ac:dyDescent="0.2">
      <c r="A38" s="1"/>
      <c r="B38" s="1" t="s">
        <v>87</v>
      </c>
      <c r="C38" s="2">
        <v>191.40894397040464</v>
      </c>
      <c r="D38" s="1"/>
    </row>
    <row r="39" spans="1:4" x14ac:dyDescent="0.2">
      <c r="A39" s="1"/>
      <c r="B39" s="1" t="s">
        <v>85</v>
      </c>
      <c r="C39" s="2">
        <v>390.75390628788688</v>
      </c>
      <c r="D39" s="1"/>
    </row>
    <row r="40" spans="1:4" x14ac:dyDescent="0.2">
      <c r="A40" s="1"/>
      <c r="B40" s="1" t="s">
        <v>91</v>
      </c>
      <c r="C40" s="2">
        <v>221.70843542867686</v>
      </c>
      <c r="D40" s="1"/>
    </row>
    <row r="41" spans="1:4" x14ac:dyDescent="0.2">
      <c r="A41" s="1"/>
      <c r="B41" s="1" t="s">
        <v>89</v>
      </c>
      <c r="C41" s="2">
        <v>211.24246639742856</v>
      </c>
      <c r="D41" s="1"/>
    </row>
    <row r="42" spans="1:4" x14ac:dyDescent="0.2">
      <c r="A42" s="1"/>
      <c r="B42" s="1" t="s">
        <v>93</v>
      </c>
      <c r="C42" s="2">
        <v>308.57787504435169</v>
      </c>
      <c r="D42" s="1"/>
    </row>
    <row r="43" spans="1:4" x14ac:dyDescent="0.2">
      <c r="A43" s="1"/>
      <c r="B43" s="1" t="s">
        <v>94</v>
      </c>
      <c r="C43" s="2">
        <v>499.77631894494658</v>
      </c>
      <c r="D43" s="1"/>
    </row>
    <row r="44" spans="1:4" x14ac:dyDescent="0.2">
      <c r="A44" s="1"/>
      <c r="B44" s="1" t="s">
        <v>97</v>
      </c>
      <c r="C44" s="2">
        <v>18.404793255736589</v>
      </c>
      <c r="D44" s="1"/>
    </row>
    <row r="45" spans="1:4" x14ac:dyDescent="0.2">
      <c r="A45" s="1"/>
      <c r="B45" s="1" t="s">
        <v>100</v>
      </c>
      <c r="C45" s="2">
        <v>35.449922760041197</v>
      </c>
      <c r="D45" s="1"/>
    </row>
    <row r="46" spans="1:4" x14ac:dyDescent="0.2">
      <c r="A46" s="1"/>
      <c r="B46" s="1" t="s">
        <v>99</v>
      </c>
      <c r="C46" s="2">
        <v>1173.0635252984578</v>
      </c>
      <c r="D46" s="1"/>
    </row>
    <row r="47" spans="1:4" x14ac:dyDescent="0.2">
      <c r="A47" s="1"/>
      <c r="B47" s="1" t="s">
        <v>101</v>
      </c>
      <c r="C47" s="2">
        <v>106.59762729108363</v>
      </c>
      <c r="D47" s="1"/>
    </row>
    <row r="48" spans="1:4" x14ac:dyDescent="0.2">
      <c r="A48" s="1"/>
      <c r="B48" s="1" t="s">
        <v>102</v>
      </c>
      <c r="C48" s="2">
        <v>578.56076437236356</v>
      </c>
      <c r="D48" s="1"/>
    </row>
    <row r="49" spans="1:4" x14ac:dyDescent="0.2">
      <c r="A49" s="1"/>
      <c r="B49" s="1" t="s">
        <v>159</v>
      </c>
      <c r="C49" s="2">
        <v>122.94990008063668</v>
      </c>
      <c r="D49" s="1"/>
    </row>
    <row r="50" spans="1:4" x14ac:dyDescent="0.2">
      <c r="A50" s="1"/>
      <c r="B50" s="1" t="s">
        <v>107</v>
      </c>
      <c r="C50" s="2">
        <v>107.24237931193576</v>
      </c>
      <c r="D50" s="1"/>
    </row>
    <row r="51" spans="1:4" x14ac:dyDescent="0.2">
      <c r="A51" s="1"/>
      <c r="B51" s="1" t="s">
        <v>124</v>
      </c>
      <c r="C51" s="2">
        <v>466.49171820390762</v>
      </c>
      <c r="D51" s="1"/>
    </row>
    <row r="52" spans="1:4" x14ac:dyDescent="0.2">
      <c r="A52" s="1"/>
      <c r="B52" s="1" t="s">
        <v>138</v>
      </c>
      <c r="C52" s="2">
        <v>438.40040086722263</v>
      </c>
      <c r="D52" s="1"/>
    </row>
    <row r="53" spans="1:4" x14ac:dyDescent="0.2">
      <c r="A53" s="1"/>
      <c r="B53" s="1" t="s">
        <v>139</v>
      </c>
      <c r="C53" s="2">
        <v>325.95172040109111</v>
      </c>
      <c r="D53" s="1"/>
    </row>
    <row r="54" spans="1:4" x14ac:dyDescent="0.2">
      <c r="A54" s="1"/>
      <c r="B54" s="1" t="s">
        <v>129</v>
      </c>
      <c r="C54" s="2">
        <v>301.91827933105662</v>
      </c>
      <c r="D54" s="1"/>
    </row>
    <row r="55" spans="1:4" x14ac:dyDescent="0.2">
      <c r="A55" s="1"/>
      <c r="B55" s="1" t="s">
        <v>126</v>
      </c>
      <c r="C55" s="2">
        <v>245.26993407555122</v>
      </c>
      <c r="D55" s="1"/>
    </row>
    <row r="56" spans="1:4" x14ac:dyDescent="0.2">
      <c r="A56" s="1"/>
      <c r="B56" s="1" t="s">
        <v>121</v>
      </c>
      <c r="C56" s="2">
        <v>214.70467829793085</v>
      </c>
      <c r="D56" s="1"/>
    </row>
    <row r="57" spans="1:4" x14ac:dyDescent="0.2">
      <c r="A57" s="1"/>
      <c r="B57" s="1" t="s">
        <v>135</v>
      </c>
      <c r="C57" s="2">
        <v>358.52079964907551</v>
      </c>
      <c r="D57" s="1"/>
    </row>
    <row r="58" spans="1:4" x14ac:dyDescent="0.2">
      <c r="A58" s="1"/>
      <c r="B58" s="1" t="s">
        <v>131</v>
      </c>
      <c r="C58" s="2">
        <v>143.97566525925839</v>
      </c>
      <c r="D58" s="1"/>
    </row>
    <row r="59" spans="1:4" x14ac:dyDescent="0.2">
      <c r="A59" s="1"/>
      <c r="B59" s="1" t="s">
        <v>147</v>
      </c>
      <c r="C59" s="2">
        <v>186.12754401620441</v>
      </c>
      <c r="D59" s="1"/>
    </row>
    <row r="60" spans="1:4" x14ac:dyDescent="0.2">
      <c r="A60" s="1"/>
      <c r="B60" s="1" t="s">
        <v>145</v>
      </c>
      <c r="C60" s="2">
        <v>51.841736711138367</v>
      </c>
      <c r="D60" s="1"/>
    </row>
    <row r="61" spans="1:4" x14ac:dyDescent="0.2">
      <c r="A61" s="1"/>
      <c r="B61" s="1" t="s">
        <v>142</v>
      </c>
      <c r="C61" s="2">
        <v>576.66974793512213</v>
      </c>
      <c r="D61" s="1"/>
    </row>
    <row r="62" spans="1:4" x14ac:dyDescent="0.2">
      <c r="A62" s="1"/>
      <c r="B62" s="1" t="s">
        <v>143</v>
      </c>
      <c r="C62" s="2">
        <v>374.97939462662646</v>
      </c>
      <c r="D62" s="1"/>
    </row>
    <row r="63" spans="1:4" x14ac:dyDescent="0.2">
      <c r="A63" s="1"/>
      <c r="B63" s="1" t="s">
        <v>151</v>
      </c>
      <c r="C63" s="2">
        <v>414.12227837173657</v>
      </c>
      <c r="D63" s="1"/>
    </row>
    <row r="64" spans="1:4" x14ac:dyDescent="0.2">
      <c r="A64" s="1"/>
      <c r="B64" s="1" t="s">
        <v>153</v>
      </c>
      <c r="C64" s="2">
        <v>222.76556995995821</v>
      </c>
      <c r="D64" s="1"/>
    </row>
    <row r="65" spans="1:4" x14ac:dyDescent="0.2">
      <c r="A65" s="1"/>
      <c r="B65" s="1" t="s">
        <v>154</v>
      </c>
      <c r="C65" s="2">
        <v>301.84166749217525</v>
      </c>
      <c r="D65" s="1"/>
    </row>
    <row r="66" spans="1:4" x14ac:dyDescent="0.2">
      <c r="A66" s="1"/>
      <c r="B66" s="1" t="s">
        <v>157</v>
      </c>
      <c r="C66" s="2">
        <v>26.582239700109149</v>
      </c>
      <c r="D66" s="1"/>
    </row>
    <row r="67" spans="1:4" x14ac:dyDescent="0.2">
      <c r="A67" s="1"/>
      <c r="B67" s="1" t="s">
        <v>160</v>
      </c>
      <c r="C67" s="2">
        <v>16.24984363915032</v>
      </c>
      <c r="D67" s="1"/>
    </row>
    <row r="68" spans="1:4" x14ac:dyDescent="0.2">
      <c r="A68" s="1"/>
      <c r="B68" s="1" t="s">
        <v>165</v>
      </c>
      <c r="C68" s="2">
        <v>4.6631685228994222</v>
      </c>
      <c r="D68" s="1"/>
    </row>
    <row r="69" spans="1:4" x14ac:dyDescent="0.2">
      <c r="A69" s="1"/>
      <c r="B69" s="1" t="s">
        <v>166</v>
      </c>
      <c r="C69" s="2">
        <v>21.141603209421419</v>
      </c>
      <c r="D69" s="1"/>
    </row>
    <row r="70" spans="1:4" x14ac:dyDescent="0.2">
      <c r="A70" s="1"/>
      <c r="B70" s="1" t="s">
        <v>167</v>
      </c>
      <c r="C70" s="2">
        <v>332.31522148407799</v>
      </c>
      <c r="D70" s="1"/>
    </row>
    <row r="71" spans="1:4" x14ac:dyDescent="0.2">
      <c r="A71" s="1"/>
      <c r="B71" s="1" t="s">
        <v>169</v>
      </c>
      <c r="C71" s="2">
        <v>402.53476077005433</v>
      </c>
      <c r="D71" s="1"/>
    </row>
    <row r="72" spans="1:4" x14ac:dyDescent="0.2">
      <c r="A72" s="1"/>
      <c r="B72" s="1" t="s">
        <v>175</v>
      </c>
      <c r="C72" s="2">
        <v>478.90385355510199</v>
      </c>
      <c r="D72" s="1"/>
    </row>
    <row r="73" spans="1:4" x14ac:dyDescent="0.2">
      <c r="A73" s="1"/>
      <c r="B73" s="1" t="s">
        <v>214</v>
      </c>
      <c r="C73" s="2">
        <v>268.38045854994704</v>
      </c>
      <c r="D73" s="1"/>
    </row>
    <row r="74" spans="1:4" x14ac:dyDescent="0.2">
      <c r="A74" s="1"/>
      <c r="B74" s="1" t="s">
        <v>177</v>
      </c>
      <c r="C74" s="2">
        <v>264.94121387289152</v>
      </c>
      <c r="D74" s="1"/>
    </row>
    <row r="75" spans="1:4" x14ac:dyDescent="0.2">
      <c r="A75" s="1"/>
      <c r="B75" s="1" t="s">
        <v>61</v>
      </c>
      <c r="C75" s="2">
        <v>55.506235429321947</v>
      </c>
      <c r="D75" s="1"/>
    </row>
    <row r="76" spans="1:4" x14ac:dyDescent="0.2">
      <c r="A76" s="1"/>
      <c r="B76" s="1" t="s">
        <v>114</v>
      </c>
      <c r="C76" s="2">
        <v>126.8721402274559</v>
      </c>
      <c r="D76" s="1"/>
    </row>
    <row r="77" spans="1:4" x14ac:dyDescent="0.2">
      <c r="A77" s="1"/>
      <c r="B77" s="1" t="s">
        <v>168</v>
      </c>
      <c r="C77" s="2">
        <v>459.37943130775835</v>
      </c>
      <c r="D77" s="1"/>
    </row>
    <row r="78" spans="1:4" x14ac:dyDescent="0.2">
      <c r="A78" s="1"/>
      <c r="B78" s="1" t="s">
        <v>182</v>
      </c>
      <c r="C78" s="2">
        <v>38.328895810308452</v>
      </c>
      <c r="D78" s="1"/>
    </row>
    <row r="79" spans="1:4" x14ac:dyDescent="0.2">
      <c r="A79" s="1"/>
      <c r="B79" s="1" t="s">
        <v>186</v>
      </c>
      <c r="C79" s="2">
        <v>350.39967904140366</v>
      </c>
      <c r="D79" s="1"/>
    </row>
    <row r="80" spans="1:4" x14ac:dyDescent="0.2">
      <c r="A80" s="1"/>
      <c r="B80" s="1" t="s">
        <v>199</v>
      </c>
      <c r="C80" s="2">
        <v>515.79858402113871</v>
      </c>
      <c r="D80" s="1"/>
    </row>
    <row r="81" spans="1:4" x14ac:dyDescent="0.2">
      <c r="A81" s="1"/>
      <c r="B81" s="1" t="s">
        <v>190</v>
      </c>
      <c r="C81" s="2">
        <v>166.8038098228767</v>
      </c>
      <c r="D81" s="1"/>
    </row>
    <row r="82" spans="1:4" x14ac:dyDescent="0.2">
      <c r="A82" s="1"/>
      <c r="B82" s="1" t="s">
        <v>196</v>
      </c>
      <c r="C82" s="2">
        <v>180.60109840254512</v>
      </c>
      <c r="D82" s="1"/>
    </row>
    <row r="83" spans="1:4" x14ac:dyDescent="0.2">
      <c r="A83" s="1"/>
      <c r="B83" s="1" t="s">
        <v>197</v>
      </c>
      <c r="C83" s="2">
        <v>194.33455778767717</v>
      </c>
      <c r="D83" s="1"/>
    </row>
    <row r="84" spans="1:4" x14ac:dyDescent="0.2">
      <c r="A84" s="1"/>
      <c r="B84" s="1" t="s">
        <v>200</v>
      </c>
      <c r="C84" s="2">
        <v>481.82579626966356</v>
      </c>
      <c r="D84" s="1"/>
    </row>
    <row r="85" spans="1:4" x14ac:dyDescent="0.2">
      <c r="A85" s="1"/>
      <c r="B85" s="1" t="s">
        <v>201</v>
      </c>
      <c r="C85" s="2">
        <v>4.3338244198190026</v>
      </c>
      <c r="D85" s="1"/>
    </row>
    <row r="86" spans="1:4" x14ac:dyDescent="0.2">
      <c r="A86" s="1"/>
      <c r="B86" s="1" t="s">
        <v>70</v>
      </c>
      <c r="C86" s="2">
        <v>27.374045801526719</v>
      </c>
      <c r="D86" s="1"/>
    </row>
    <row r="87" spans="1:4" x14ac:dyDescent="0.2">
      <c r="A87" s="1"/>
      <c r="B87" s="1" t="s">
        <v>203</v>
      </c>
      <c r="C87" s="2">
        <v>83.525701413065732</v>
      </c>
      <c r="D87" s="1"/>
    </row>
    <row r="88" spans="1:4" x14ac:dyDescent="0.2">
      <c r="A88" s="1"/>
      <c r="B88" s="1" t="s">
        <v>204</v>
      </c>
      <c r="C88" s="2">
        <v>309.13541286880218</v>
      </c>
      <c r="D88" s="1"/>
    </row>
    <row r="89" spans="1:4" x14ac:dyDescent="0.2">
      <c r="A89" s="1"/>
      <c r="B89" s="1" t="s">
        <v>206</v>
      </c>
      <c r="C89" s="2">
        <v>248.57553041694391</v>
      </c>
      <c r="D89" s="1"/>
    </row>
    <row r="90" spans="1:4" x14ac:dyDescent="0.2">
      <c r="A90" s="1"/>
      <c r="B90" s="1" t="s">
        <v>209</v>
      </c>
      <c r="C90" s="2">
        <v>201.4859000232172</v>
      </c>
      <c r="D90" s="1"/>
    </row>
    <row r="91" spans="1:4" x14ac:dyDescent="0.2">
      <c r="A91" s="1"/>
      <c r="B91" s="1" t="s">
        <v>213</v>
      </c>
      <c r="C91" s="2">
        <v>553.16155068207604</v>
      </c>
      <c r="D91" s="1"/>
    </row>
    <row r="92" spans="1:4" x14ac:dyDescent="0.2">
      <c r="A92" s="1"/>
      <c r="B92" s="1" t="s">
        <v>215</v>
      </c>
      <c r="C92" s="2">
        <v>504.34472968349536</v>
      </c>
      <c r="D92" s="1"/>
    </row>
    <row r="93" spans="1:4" x14ac:dyDescent="0.2">
      <c r="A93" s="1"/>
      <c r="B93" s="1" t="s">
        <v>216</v>
      </c>
      <c r="C93" s="2">
        <v>307.59523377633525</v>
      </c>
      <c r="D93" s="1"/>
    </row>
    <row r="94" spans="1:4" x14ac:dyDescent="0.2">
      <c r="A94" s="1" t="s">
        <v>273</v>
      </c>
      <c r="B94" s="1" t="s">
        <v>4</v>
      </c>
      <c r="C94" s="2">
        <v>57.165589259075091</v>
      </c>
      <c r="D94" s="1"/>
    </row>
    <row r="95" spans="1:4" x14ac:dyDescent="0.2">
      <c r="A95" s="1"/>
      <c r="B95" s="1" t="s">
        <v>8</v>
      </c>
      <c r="C95" s="2">
        <v>58.903903783055803</v>
      </c>
      <c r="D95" s="1"/>
    </row>
    <row r="96" spans="1:4" x14ac:dyDescent="0.2">
      <c r="A96" s="1"/>
      <c r="B96" s="1" t="s">
        <v>12</v>
      </c>
      <c r="C96" s="2">
        <v>26.524507349303068</v>
      </c>
      <c r="D96" s="1"/>
    </row>
    <row r="97" spans="1:4" x14ac:dyDescent="0.2">
      <c r="A97" s="1"/>
      <c r="B97" s="1" t="s">
        <v>20</v>
      </c>
      <c r="C97" s="2">
        <v>789.672885053512</v>
      </c>
      <c r="D97" s="1"/>
    </row>
    <row r="98" spans="1:4" x14ac:dyDescent="0.2">
      <c r="A98" s="1"/>
      <c r="B98" s="1" t="s">
        <v>23</v>
      </c>
      <c r="C98" s="2">
        <v>14.417565259819467</v>
      </c>
      <c r="D98" s="1"/>
    </row>
    <row r="99" spans="1:4" x14ac:dyDescent="0.2">
      <c r="A99" s="1"/>
      <c r="B99" s="1" t="s">
        <v>22</v>
      </c>
      <c r="C99" s="2">
        <v>0.54757432922297045</v>
      </c>
      <c r="D99" s="1"/>
    </row>
    <row r="100" spans="1:4" x14ac:dyDescent="0.2">
      <c r="A100" s="1"/>
      <c r="B100" s="1" t="s">
        <v>31</v>
      </c>
      <c r="C100" s="2">
        <v>358.36002053606887</v>
      </c>
      <c r="D100" s="1"/>
    </row>
    <row r="101" spans="1:4" x14ac:dyDescent="0.2">
      <c r="A101" s="1"/>
      <c r="B101" s="1" t="s">
        <v>19</v>
      </c>
      <c r="C101" s="2">
        <v>-16.735927388223821</v>
      </c>
      <c r="D101" s="1"/>
    </row>
    <row r="102" spans="1:4" x14ac:dyDescent="0.2">
      <c r="A102" s="1"/>
      <c r="B102" s="1" t="s">
        <v>32</v>
      </c>
      <c r="C102" s="2">
        <v>195.27651840460166</v>
      </c>
      <c r="D102" s="1"/>
    </row>
    <row r="103" spans="1:4" x14ac:dyDescent="0.2">
      <c r="A103" s="1"/>
      <c r="B103" s="1" t="s">
        <v>42</v>
      </c>
      <c r="C103" s="2">
        <v>444.3945106233179</v>
      </c>
      <c r="D103" s="1"/>
    </row>
    <row r="104" spans="1:4" x14ac:dyDescent="0.2">
      <c r="A104" s="1"/>
      <c r="B104" s="1" t="s">
        <v>46</v>
      </c>
      <c r="C104" s="2">
        <v>279.23428771160138</v>
      </c>
      <c r="D104" s="1"/>
    </row>
    <row r="105" spans="1:4" x14ac:dyDescent="0.2">
      <c r="A105" s="1"/>
      <c r="B105" s="1" t="s">
        <v>86</v>
      </c>
      <c r="C105" s="2">
        <v>-5.4580947064874703</v>
      </c>
      <c r="D105" s="1"/>
    </row>
    <row r="106" spans="1:4" x14ac:dyDescent="0.2">
      <c r="A106" s="1"/>
      <c r="B106" s="1" t="s">
        <v>50</v>
      </c>
      <c r="C106" s="2">
        <v>122.04078500912206</v>
      </c>
      <c r="D106" s="1"/>
    </row>
    <row r="107" spans="1:4" x14ac:dyDescent="0.2">
      <c r="A107" s="1"/>
      <c r="B107" s="1" t="s">
        <v>55</v>
      </c>
      <c r="C107" s="2">
        <v>27.334268931171547</v>
      </c>
      <c r="D107" s="1"/>
    </row>
    <row r="108" spans="1:4" x14ac:dyDescent="0.2">
      <c r="A108" s="1"/>
      <c r="B108" s="1" t="s">
        <v>53</v>
      </c>
      <c r="C108" s="2">
        <v>1184.7437924300195</v>
      </c>
      <c r="D108" s="1"/>
    </row>
    <row r="109" spans="1:4" x14ac:dyDescent="0.2">
      <c r="A109" s="1"/>
      <c r="B109" s="1" t="s">
        <v>173</v>
      </c>
      <c r="C109" s="2">
        <v>123.34818458734303</v>
      </c>
      <c r="D109" s="1"/>
    </row>
    <row r="110" spans="1:4" x14ac:dyDescent="0.2">
      <c r="A110" s="1"/>
      <c r="B110" s="1" t="s">
        <v>77</v>
      </c>
      <c r="C110" s="2">
        <v>536.183642381406</v>
      </c>
      <c r="D110" s="1"/>
    </row>
    <row r="111" spans="1:4" x14ac:dyDescent="0.2">
      <c r="A111" s="1"/>
      <c r="B111" s="1" t="s">
        <v>60</v>
      </c>
      <c r="C111" s="2">
        <v>238.41768058510283</v>
      </c>
      <c r="D111" s="1"/>
    </row>
    <row r="112" spans="1:4" x14ac:dyDescent="0.2">
      <c r="A112" s="1"/>
      <c r="B112" s="1" t="s">
        <v>62</v>
      </c>
      <c r="C112" s="2">
        <v>9.7384561924233441</v>
      </c>
      <c r="D112" s="1"/>
    </row>
    <row r="113" spans="1:4" x14ac:dyDescent="0.2">
      <c r="A113" s="1"/>
      <c r="B113" s="1" t="s">
        <v>183</v>
      </c>
      <c r="C113" s="2">
        <v>245.38117838517161</v>
      </c>
      <c r="D113" s="1"/>
    </row>
    <row r="114" spans="1:4" x14ac:dyDescent="0.2">
      <c r="A114" s="1"/>
      <c r="B114" s="1" t="s">
        <v>64</v>
      </c>
      <c r="C114" s="2">
        <v>24.830697073392518</v>
      </c>
      <c r="D114" s="1"/>
    </row>
    <row r="115" spans="1:4" x14ac:dyDescent="0.2">
      <c r="A115" s="1"/>
      <c r="B115" s="1" t="s">
        <v>69</v>
      </c>
      <c r="C115" s="2">
        <v>353.34110197612409</v>
      </c>
      <c r="D115" s="1"/>
    </row>
    <row r="116" spans="1:4" x14ac:dyDescent="0.2">
      <c r="A116" s="1"/>
      <c r="B116" s="1" t="s">
        <v>75</v>
      </c>
      <c r="C116" s="2">
        <v>531.99844244586245</v>
      </c>
      <c r="D116" s="1"/>
    </row>
    <row r="117" spans="1:4" x14ac:dyDescent="0.2">
      <c r="A117" s="1"/>
      <c r="B117" s="1" t="s">
        <v>71</v>
      </c>
      <c r="C117" s="2">
        <v>2.1153170945797677</v>
      </c>
      <c r="D117" s="1"/>
    </row>
    <row r="118" spans="1:4" x14ac:dyDescent="0.2">
      <c r="A118" s="1"/>
      <c r="B118" s="1" t="s">
        <v>76</v>
      </c>
      <c r="C118" s="2">
        <v>248.53531567621653</v>
      </c>
      <c r="D118" s="1"/>
    </row>
    <row r="119" spans="1:4" x14ac:dyDescent="0.2">
      <c r="A119" s="1"/>
      <c r="B119" s="1" t="s">
        <v>84</v>
      </c>
      <c r="C119" s="2">
        <v>141.72493569942225</v>
      </c>
      <c r="D119" s="1"/>
    </row>
    <row r="120" spans="1:4" x14ac:dyDescent="0.2">
      <c r="A120" s="1"/>
      <c r="B120" s="1" t="s">
        <v>88</v>
      </c>
      <c r="C120" s="2">
        <v>-3.136100803003993</v>
      </c>
      <c r="D120" s="1"/>
    </row>
    <row r="121" spans="1:4" x14ac:dyDescent="0.2">
      <c r="A121" s="1"/>
      <c r="B121" s="1" t="s">
        <v>92</v>
      </c>
      <c r="C121" s="2">
        <v>78.171074029555257</v>
      </c>
      <c r="D121" s="1"/>
    </row>
    <row r="122" spans="1:4" x14ac:dyDescent="0.2">
      <c r="A122" s="1"/>
      <c r="B122" s="1" t="s">
        <v>96</v>
      </c>
      <c r="C122" s="2">
        <v>335.9041068674847</v>
      </c>
      <c r="D122" s="1"/>
    </row>
    <row r="123" spans="1:4" x14ac:dyDescent="0.2">
      <c r="A123" s="1"/>
      <c r="B123" s="1" t="s">
        <v>98</v>
      </c>
      <c r="C123" s="2">
        <v>71.559419516910552</v>
      </c>
      <c r="D123" s="1"/>
    </row>
    <row r="124" spans="1:4" x14ac:dyDescent="0.2">
      <c r="A124" s="1"/>
      <c r="B124" s="1" t="s">
        <v>212</v>
      </c>
      <c r="C124" s="2">
        <v>81.769637080315093</v>
      </c>
      <c r="D124" s="1"/>
    </row>
    <row r="125" spans="1:4" x14ac:dyDescent="0.2">
      <c r="A125" s="1"/>
      <c r="B125" s="1" t="s">
        <v>108</v>
      </c>
      <c r="C125" s="2">
        <v>1314.6039349321675</v>
      </c>
      <c r="D125" s="1"/>
    </row>
    <row r="126" spans="1:4" x14ac:dyDescent="0.2">
      <c r="A126" s="1"/>
      <c r="B126" s="1" t="s">
        <v>103</v>
      </c>
      <c r="C126" s="2">
        <v>209.65317865856466</v>
      </c>
      <c r="D126" s="1"/>
    </row>
    <row r="127" spans="1:4" x14ac:dyDescent="0.2">
      <c r="A127" s="1"/>
      <c r="B127" s="1" t="s">
        <v>118</v>
      </c>
      <c r="C127" s="2">
        <v>-10.397556977226083</v>
      </c>
      <c r="D127" s="1"/>
    </row>
    <row r="128" spans="1:4" x14ac:dyDescent="0.2">
      <c r="A128" s="1"/>
      <c r="B128" s="1" t="s">
        <v>109</v>
      </c>
      <c r="C128" s="2">
        <v>217.78750182511649</v>
      </c>
      <c r="D128" s="1"/>
    </row>
    <row r="129" spans="1:4" x14ac:dyDescent="0.2">
      <c r="A129" s="1"/>
      <c r="B129" s="1" t="s">
        <v>115</v>
      </c>
      <c r="C129" s="2">
        <v>203.56103190767141</v>
      </c>
      <c r="D129" s="1"/>
    </row>
    <row r="130" spans="1:4" x14ac:dyDescent="0.2">
      <c r="A130" s="1"/>
      <c r="B130" s="1" t="s">
        <v>110</v>
      </c>
      <c r="C130" s="2">
        <v>351.8967602205135</v>
      </c>
      <c r="D130" s="1"/>
    </row>
    <row r="131" spans="1:4" x14ac:dyDescent="0.2">
      <c r="A131" s="1"/>
      <c r="B131" s="1" t="s">
        <v>111</v>
      </c>
      <c r="C131" s="2">
        <v>371.93021588998516</v>
      </c>
      <c r="D131" s="1"/>
    </row>
    <row r="132" spans="1:4" x14ac:dyDescent="0.2">
      <c r="A132" s="1"/>
      <c r="B132" s="1" t="s">
        <v>116</v>
      </c>
      <c r="C132" s="2">
        <v>1.1451656439509816</v>
      </c>
      <c r="D132" s="1"/>
    </row>
    <row r="133" spans="1:4" x14ac:dyDescent="0.2">
      <c r="A133" s="1"/>
      <c r="B133" s="1" t="s">
        <v>136</v>
      </c>
      <c r="C133" s="2">
        <v>458.06650022200711</v>
      </c>
      <c r="D133" s="1"/>
    </row>
    <row r="134" spans="1:4" x14ac:dyDescent="0.2">
      <c r="A134" s="1"/>
      <c r="B134" s="1" t="s">
        <v>137</v>
      </c>
      <c r="C134" s="2">
        <v>86.087948366309931</v>
      </c>
      <c r="D134" s="1"/>
    </row>
    <row r="135" spans="1:4" x14ac:dyDescent="0.2">
      <c r="A135" s="1"/>
      <c r="B135" s="1" t="s">
        <v>123</v>
      </c>
      <c r="C135" s="2">
        <v>28.042001535456411</v>
      </c>
      <c r="D135" s="1"/>
    </row>
    <row r="136" spans="1:4" x14ac:dyDescent="0.2">
      <c r="A136" s="1"/>
      <c r="B136" s="1" t="s">
        <v>133</v>
      </c>
      <c r="C136" s="2">
        <v>240.34584874104308</v>
      </c>
      <c r="D136" s="1"/>
    </row>
    <row r="137" spans="1:4" x14ac:dyDescent="0.2">
      <c r="A137" s="1"/>
      <c r="B137" s="1" t="s">
        <v>140</v>
      </c>
      <c r="C137" s="2">
        <v>361.35646234350298</v>
      </c>
      <c r="D137" s="1"/>
    </row>
    <row r="138" spans="1:4" x14ac:dyDescent="0.2">
      <c r="A138" s="1"/>
      <c r="B138" s="1" t="s">
        <v>149</v>
      </c>
      <c r="C138" s="2">
        <v>113.86288894510498</v>
      </c>
      <c r="D138" s="1"/>
    </row>
    <row r="139" spans="1:4" x14ac:dyDescent="0.2">
      <c r="A139" s="1"/>
      <c r="B139" s="1" t="s">
        <v>144</v>
      </c>
      <c r="C139" s="2">
        <v>268.34478811918962</v>
      </c>
      <c r="D139" s="1"/>
    </row>
    <row r="140" spans="1:4" x14ac:dyDescent="0.2">
      <c r="A140" s="1"/>
      <c r="B140" s="1" t="s">
        <v>128</v>
      </c>
      <c r="C140" s="2">
        <v>29.341302343666708</v>
      </c>
      <c r="D140" s="1"/>
    </row>
    <row r="141" spans="1:4" x14ac:dyDescent="0.2">
      <c r="A141" s="1"/>
      <c r="B141" s="1" t="s">
        <v>146</v>
      </c>
      <c r="C141" s="2">
        <v>50.212677791122005</v>
      </c>
      <c r="D141" s="1"/>
    </row>
    <row r="142" spans="1:4" x14ac:dyDescent="0.2">
      <c r="A142" s="1"/>
      <c r="B142" s="1" t="s">
        <v>150</v>
      </c>
      <c r="C142" s="2">
        <v>752.52118344533767</v>
      </c>
      <c r="D142" s="1"/>
    </row>
    <row r="143" spans="1:4" x14ac:dyDescent="0.2">
      <c r="A143" s="1"/>
      <c r="B143" s="1" t="s">
        <v>152</v>
      </c>
      <c r="C143" s="2">
        <v>281.28258755511746</v>
      </c>
      <c r="D143" s="1"/>
    </row>
    <row r="144" spans="1:4" x14ac:dyDescent="0.2">
      <c r="A144" s="1"/>
      <c r="B144" s="1" t="s">
        <v>156</v>
      </c>
      <c r="C144" s="2">
        <v>391.99021607831151</v>
      </c>
      <c r="D144" s="1"/>
    </row>
    <row r="145" spans="1:4" x14ac:dyDescent="0.2">
      <c r="A145" s="1"/>
      <c r="B145" s="1" t="s">
        <v>161</v>
      </c>
      <c r="C145" s="2">
        <v>250.60737536328372</v>
      </c>
      <c r="D145" s="1"/>
    </row>
    <row r="146" spans="1:4" x14ac:dyDescent="0.2">
      <c r="A146" s="1"/>
      <c r="B146" s="1" t="s">
        <v>158</v>
      </c>
      <c r="C146" s="2">
        <v>39.168363019508057</v>
      </c>
      <c r="D146" s="1"/>
    </row>
    <row r="147" spans="1:4" x14ac:dyDescent="0.2">
      <c r="A147" s="1"/>
      <c r="B147" s="1" t="s">
        <v>164</v>
      </c>
      <c r="C147" s="2">
        <v>7659.3668425437372</v>
      </c>
      <c r="D147" s="1"/>
    </row>
    <row r="148" spans="1:4" x14ac:dyDescent="0.2">
      <c r="A148" s="1"/>
      <c r="B148" s="1" t="s">
        <v>176</v>
      </c>
      <c r="C148" s="2">
        <v>3.9182755454442484</v>
      </c>
      <c r="D148" s="1"/>
    </row>
    <row r="149" spans="1:4" x14ac:dyDescent="0.2">
      <c r="A149" s="1"/>
      <c r="B149" s="1" t="s">
        <v>172</v>
      </c>
      <c r="C149" s="2">
        <v>248.82346509983441</v>
      </c>
      <c r="D149" s="1"/>
    </row>
    <row r="150" spans="1:4" x14ac:dyDescent="0.2">
      <c r="A150" s="1"/>
      <c r="B150" s="1" t="s">
        <v>170</v>
      </c>
      <c r="C150" s="2">
        <v>245.34784985422741</v>
      </c>
      <c r="D150" s="1"/>
    </row>
    <row r="151" spans="1:4" x14ac:dyDescent="0.2">
      <c r="A151" s="1"/>
      <c r="B151" s="1" t="s">
        <v>180</v>
      </c>
      <c r="C151" s="2">
        <v>34.18632062427254</v>
      </c>
      <c r="D151" s="1"/>
    </row>
    <row r="152" spans="1:4" x14ac:dyDescent="0.2">
      <c r="A152" s="1"/>
      <c r="B152" s="1" t="s">
        <v>181</v>
      </c>
      <c r="C152" s="2">
        <v>32.668168509263467</v>
      </c>
      <c r="D152" s="1"/>
    </row>
    <row r="153" spans="1:4" x14ac:dyDescent="0.2">
      <c r="A153" s="1"/>
      <c r="B153" s="1" t="s">
        <v>35</v>
      </c>
      <c r="C153" s="2">
        <v>62.133023463412009</v>
      </c>
      <c r="D153" s="1"/>
    </row>
    <row r="154" spans="1:4" x14ac:dyDescent="0.2">
      <c r="A154" s="1"/>
      <c r="B154" s="1" t="s">
        <v>191</v>
      </c>
      <c r="C154" s="2">
        <v>361.5864262207221</v>
      </c>
      <c r="D154" s="1"/>
    </row>
    <row r="155" spans="1:4" x14ac:dyDescent="0.2">
      <c r="A155" s="1"/>
      <c r="B155" s="1" t="s">
        <v>193</v>
      </c>
      <c r="C155" s="2">
        <v>183.27323452633738</v>
      </c>
      <c r="D155" s="1"/>
    </row>
    <row r="156" spans="1:4" x14ac:dyDescent="0.2">
      <c r="A156" s="1"/>
      <c r="B156" s="1" t="s">
        <v>189</v>
      </c>
      <c r="C156" s="2">
        <v>418.17991644303129</v>
      </c>
      <c r="D156" s="1"/>
    </row>
    <row r="157" spans="1:4" x14ac:dyDescent="0.2">
      <c r="A157" s="1"/>
      <c r="B157" s="1" t="s">
        <v>195</v>
      </c>
      <c r="C157" s="2">
        <v>61.75351473413</v>
      </c>
      <c r="D157" s="1"/>
    </row>
    <row r="158" spans="1:4" x14ac:dyDescent="0.2">
      <c r="A158" s="1"/>
      <c r="B158" s="1" t="s">
        <v>192</v>
      </c>
      <c r="C158" s="2">
        <v>322.88371402476611</v>
      </c>
      <c r="D158" s="1"/>
    </row>
    <row r="159" spans="1:4" x14ac:dyDescent="0.2">
      <c r="A159" s="1"/>
      <c r="B159" s="1" t="s">
        <v>6</v>
      </c>
      <c r="C159" s="2">
        <v>7058.1144258150971</v>
      </c>
      <c r="D159" s="1"/>
    </row>
    <row r="160" spans="1:4" x14ac:dyDescent="0.2">
      <c r="A160" s="1"/>
      <c r="B160" s="1" t="s">
        <v>202</v>
      </c>
      <c r="C160" s="2">
        <v>34.348844664158321</v>
      </c>
      <c r="D160" s="1"/>
    </row>
    <row r="161" spans="1:4" x14ac:dyDescent="0.2">
      <c r="A161" s="1"/>
      <c r="B161" s="1" t="s">
        <v>162</v>
      </c>
      <c r="C161" s="2">
        <v>142.80418835252203</v>
      </c>
      <c r="D161" s="1"/>
    </row>
    <row r="162" spans="1:4" x14ac:dyDescent="0.2">
      <c r="A162" s="1" t="s">
        <v>274</v>
      </c>
      <c r="B162" s="1" t="s">
        <v>9</v>
      </c>
      <c r="C162" s="2">
        <v>147.16137684398748</v>
      </c>
      <c r="D162" s="1"/>
    </row>
    <row r="163" spans="1:4" x14ac:dyDescent="0.2">
      <c r="A163" s="1"/>
      <c r="B163" s="1" t="s">
        <v>5</v>
      </c>
      <c r="C163" s="2">
        <v>713.66982124079914</v>
      </c>
      <c r="D163" s="1"/>
    </row>
    <row r="164" spans="1:4" x14ac:dyDescent="0.2">
      <c r="A164" s="1"/>
      <c r="B164" s="1" t="s">
        <v>10</v>
      </c>
      <c r="C164" s="2">
        <v>65.181734798482097</v>
      </c>
      <c r="D164" s="1"/>
    </row>
    <row r="165" spans="1:4" x14ac:dyDescent="0.2">
      <c r="A165" s="1"/>
      <c r="B165" s="1" t="s">
        <v>1</v>
      </c>
      <c r="C165" s="2">
        <v>97.711299661337904</v>
      </c>
      <c r="D165" s="1"/>
    </row>
    <row r="166" spans="1:4" x14ac:dyDescent="0.2">
      <c r="A166" s="1"/>
      <c r="B166" s="1" t="s">
        <v>21</v>
      </c>
      <c r="C166" s="2">
        <v>240.33116397431158</v>
      </c>
      <c r="D166" s="1"/>
    </row>
    <row r="167" spans="1:4" x14ac:dyDescent="0.2">
      <c r="A167" s="1"/>
      <c r="B167" s="1" t="s">
        <v>28</v>
      </c>
      <c r="C167" s="2">
        <v>22.003698682939717</v>
      </c>
      <c r="D167" s="1"/>
    </row>
    <row r="168" spans="1:4" x14ac:dyDescent="0.2">
      <c r="A168" s="1"/>
      <c r="B168" s="1" t="s">
        <v>24</v>
      </c>
      <c r="C168" s="2">
        <v>327.96819904071486</v>
      </c>
      <c r="D168" s="1"/>
    </row>
    <row r="169" spans="1:4" x14ac:dyDescent="0.2">
      <c r="A169" s="1"/>
      <c r="B169" s="1" t="s">
        <v>25</v>
      </c>
      <c r="C169" s="2">
        <v>52.535064442759669</v>
      </c>
      <c r="D169" s="1"/>
    </row>
    <row r="170" spans="1:4" x14ac:dyDescent="0.2">
      <c r="A170" s="1"/>
      <c r="B170" s="1" t="s">
        <v>30</v>
      </c>
      <c r="C170" s="2">
        <v>243.62381963906392</v>
      </c>
      <c r="D170" s="1"/>
    </row>
    <row r="171" spans="1:4" x14ac:dyDescent="0.2">
      <c r="A171" s="1"/>
      <c r="B171" s="1" t="s">
        <v>207</v>
      </c>
      <c r="C171" s="2">
        <v>367.10691823899373</v>
      </c>
      <c r="D171" s="1"/>
    </row>
    <row r="172" spans="1:4" x14ac:dyDescent="0.2">
      <c r="A172" s="1"/>
      <c r="B172" s="1" t="s">
        <v>29</v>
      </c>
      <c r="C172" s="2">
        <v>406.41674306994008</v>
      </c>
      <c r="D172" s="1"/>
    </row>
    <row r="173" spans="1:4" x14ac:dyDescent="0.2">
      <c r="A173" s="1"/>
      <c r="B173" s="1" t="s">
        <v>45</v>
      </c>
      <c r="C173" s="2">
        <v>145.05723155448902</v>
      </c>
      <c r="D173" s="1"/>
    </row>
    <row r="174" spans="1:4" x14ac:dyDescent="0.2">
      <c r="A174" s="1"/>
      <c r="B174" s="1" t="s">
        <v>49</v>
      </c>
      <c r="C174" s="2">
        <v>714.95016611295682</v>
      </c>
      <c r="D174" s="1"/>
    </row>
    <row r="175" spans="1:4" x14ac:dyDescent="0.2">
      <c r="A175" s="1"/>
      <c r="B175" s="1" t="s">
        <v>36</v>
      </c>
      <c r="C175" s="2">
        <v>50.020756624070458</v>
      </c>
      <c r="D175" s="1"/>
    </row>
    <row r="176" spans="1:4" x14ac:dyDescent="0.2">
      <c r="A176" s="1"/>
      <c r="B176" s="1" t="s">
        <v>44</v>
      </c>
      <c r="C176" s="2">
        <v>305.74759736975216</v>
      </c>
      <c r="D176" s="1"/>
    </row>
    <row r="177" spans="1:4" x14ac:dyDescent="0.2">
      <c r="A177" s="1"/>
      <c r="B177" s="1" t="s">
        <v>48</v>
      </c>
      <c r="C177" s="2">
        <v>24.558986108663259</v>
      </c>
      <c r="D177" s="1"/>
    </row>
    <row r="178" spans="1:4" x14ac:dyDescent="0.2">
      <c r="A178" s="1"/>
      <c r="B178" s="1" t="s">
        <v>54</v>
      </c>
      <c r="C178" s="2">
        <v>13.812908441689686</v>
      </c>
      <c r="D178" s="1"/>
    </row>
    <row r="179" spans="1:4" x14ac:dyDescent="0.2">
      <c r="A179" s="1"/>
      <c r="B179" s="1" t="s">
        <v>67</v>
      </c>
      <c r="C179" s="2">
        <v>54.027602777859173</v>
      </c>
      <c r="D179" s="1"/>
    </row>
    <row r="180" spans="1:4" x14ac:dyDescent="0.2">
      <c r="A180" s="1"/>
      <c r="B180" s="1" t="s">
        <v>65</v>
      </c>
      <c r="C180" s="2">
        <v>125.97984128905102</v>
      </c>
      <c r="D180" s="1"/>
    </row>
    <row r="181" spans="1:4" x14ac:dyDescent="0.2">
      <c r="A181" s="1"/>
      <c r="B181" s="1" t="s">
        <v>163</v>
      </c>
      <c r="C181" s="2">
        <v>233.69865305780974</v>
      </c>
      <c r="D181" s="1"/>
    </row>
    <row r="182" spans="1:4" x14ac:dyDescent="0.2">
      <c r="A182" s="1"/>
      <c r="B182" s="1" t="s">
        <v>73</v>
      </c>
      <c r="C182" s="2">
        <v>65.63487339163882</v>
      </c>
      <c r="D182" s="1"/>
    </row>
    <row r="183" spans="1:4" x14ac:dyDescent="0.2">
      <c r="A183" s="1"/>
      <c r="B183" s="1" t="s">
        <v>80</v>
      </c>
      <c r="C183" s="2">
        <v>73.43692307692308</v>
      </c>
      <c r="D183" s="1"/>
    </row>
    <row r="184" spans="1:4" x14ac:dyDescent="0.2">
      <c r="A184" s="1"/>
      <c r="B184" s="1" t="s">
        <v>79</v>
      </c>
      <c r="C184" s="2">
        <v>23.690701482064259</v>
      </c>
      <c r="D184" s="1"/>
    </row>
    <row r="185" spans="1:4" x14ac:dyDescent="0.2">
      <c r="A185" s="1"/>
      <c r="B185" s="1" t="s">
        <v>82</v>
      </c>
      <c r="C185" s="2">
        <v>133.23696512046027</v>
      </c>
      <c r="D185" s="1"/>
    </row>
    <row r="186" spans="1:4" x14ac:dyDescent="0.2">
      <c r="A186" s="1"/>
      <c r="B186" s="1" t="s">
        <v>83</v>
      </c>
      <c r="C186" s="2">
        <v>41.876646115299671</v>
      </c>
      <c r="D186" s="1"/>
    </row>
    <row r="187" spans="1:4" x14ac:dyDescent="0.2">
      <c r="A187" s="1"/>
      <c r="B187" s="1" t="s">
        <v>95</v>
      </c>
      <c r="C187" s="2">
        <v>108.72281772927654</v>
      </c>
      <c r="D187" s="1"/>
    </row>
    <row r="188" spans="1:4" x14ac:dyDescent="0.2">
      <c r="A188" s="1"/>
      <c r="B188" s="1" t="s">
        <v>90</v>
      </c>
      <c r="C188" s="2">
        <v>72.022591470901205</v>
      </c>
      <c r="D188" s="1"/>
    </row>
    <row r="189" spans="1:4" x14ac:dyDescent="0.2">
      <c r="A189" s="1"/>
      <c r="B189" s="1" t="s">
        <v>105</v>
      </c>
      <c r="C189" s="2">
        <v>167.40250652077106</v>
      </c>
      <c r="D189" s="1"/>
    </row>
    <row r="190" spans="1:4" x14ac:dyDescent="0.2">
      <c r="A190" s="1"/>
      <c r="B190" s="1" t="s">
        <v>113</v>
      </c>
      <c r="C190" s="2">
        <v>136.46586833627134</v>
      </c>
      <c r="D190" s="1"/>
    </row>
    <row r="191" spans="1:4" x14ac:dyDescent="0.2">
      <c r="A191" s="1"/>
      <c r="B191" s="1" t="s">
        <v>117</v>
      </c>
      <c r="C191" s="2">
        <v>100.78956588209064</v>
      </c>
      <c r="D191" s="1"/>
    </row>
    <row r="192" spans="1:4" x14ac:dyDescent="0.2">
      <c r="A192" s="1"/>
      <c r="B192" s="1" t="s">
        <v>119</v>
      </c>
      <c r="C192" s="2">
        <v>295.46490494186884</v>
      </c>
      <c r="D192" s="1"/>
    </row>
    <row r="193" spans="1:4" x14ac:dyDescent="0.2">
      <c r="A193" s="1"/>
      <c r="B193" s="1" t="s">
        <v>125</v>
      </c>
      <c r="C193" s="2">
        <v>450.63439669258355</v>
      </c>
      <c r="D193" s="1"/>
    </row>
    <row r="194" spans="1:4" x14ac:dyDescent="0.2">
      <c r="A194" s="1"/>
      <c r="B194" s="1" t="s">
        <v>130</v>
      </c>
      <c r="C194" s="2">
        <v>57.859439595773999</v>
      </c>
      <c r="D194" s="1"/>
    </row>
    <row r="195" spans="1:4" x14ac:dyDescent="0.2">
      <c r="A195" s="1"/>
      <c r="B195" s="1" t="s">
        <v>127</v>
      </c>
      <c r="C195" s="2">
        <v>190.45772971502416</v>
      </c>
      <c r="D195" s="1"/>
    </row>
    <row r="196" spans="1:4" x14ac:dyDescent="0.2">
      <c r="A196" s="1"/>
      <c r="B196" s="1" t="s">
        <v>68</v>
      </c>
      <c r="C196" s="2">
        <v>157.57878358607559</v>
      </c>
      <c r="D196" s="1"/>
    </row>
    <row r="197" spans="1:4" x14ac:dyDescent="0.2">
      <c r="A197" s="1"/>
      <c r="B197" s="1" t="s">
        <v>122</v>
      </c>
      <c r="C197" s="2">
        <v>74.477256052824643</v>
      </c>
      <c r="D197" s="1"/>
    </row>
    <row r="198" spans="1:4" x14ac:dyDescent="0.2">
      <c r="A198" s="1"/>
      <c r="B198" s="1" t="s">
        <v>132</v>
      </c>
      <c r="C198" s="2">
        <v>30.382309672291129</v>
      </c>
      <c r="D198" s="1"/>
    </row>
    <row r="199" spans="1:4" x14ac:dyDescent="0.2">
      <c r="A199" s="1"/>
      <c r="B199" s="1" t="s">
        <v>148</v>
      </c>
      <c r="C199" s="2">
        <v>152.72411547644887</v>
      </c>
      <c r="D199" s="1"/>
    </row>
    <row r="200" spans="1:4" x14ac:dyDescent="0.2">
      <c r="A200" s="1"/>
      <c r="B200" s="1" t="s">
        <v>141</v>
      </c>
      <c r="C200" s="2">
        <v>256.02550771119661</v>
      </c>
      <c r="D200" s="1"/>
    </row>
    <row r="201" spans="1:4" x14ac:dyDescent="0.2">
      <c r="A201" s="1"/>
      <c r="B201" s="1" t="s">
        <v>134</v>
      </c>
      <c r="C201" s="2">
        <v>444.04761904761909</v>
      </c>
      <c r="D201" s="1"/>
    </row>
    <row r="202" spans="1:4" x14ac:dyDescent="0.2">
      <c r="A202" s="1"/>
      <c r="B202" s="1" t="s">
        <v>155</v>
      </c>
      <c r="C202" s="2">
        <v>90.737564322469993</v>
      </c>
      <c r="D202" s="1"/>
    </row>
    <row r="203" spans="1:4" x14ac:dyDescent="0.2">
      <c r="A203" s="1"/>
      <c r="B203" s="1" t="s">
        <v>211</v>
      </c>
      <c r="C203" s="2">
        <v>88.411414347942042</v>
      </c>
      <c r="D203" s="1"/>
    </row>
    <row r="204" spans="1:4" x14ac:dyDescent="0.2">
      <c r="A204" s="1"/>
      <c r="B204" s="1" t="s">
        <v>174</v>
      </c>
      <c r="C204" s="2">
        <v>125.36945812807883</v>
      </c>
      <c r="D204" s="1"/>
    </row>
    <row r="205" spans="1:4" x14ac:dyDescent="0.2">
      <c r="A205" s="1"/>
      <c r="B205" s="1" t="s">
        <v>178</v>
      </c>
      <c r="C205" s="2">
        <v>219.70093512909489</v>
      </c>
      <c r="D205" s="1"/>
    </row>
    <row r="206" spans="1:4" x14ac:dyDescent="0.2">
      <c r="A206" s="1"/>
      <c r="B206" s="1" t="s">
        <v>185</v>
      </c>
      <c r="C206" s="2">
        <v>136.11990407673861</v>
      </c>
      <c r="D206" s="1"/>
    </row>
    <row r="207" spans="1:4" x14ac:dyDescent="0.2">
      <c r="A207" s="1"/>
      <c r="B207" s="1" t="s">
        <v>184</v>
      </c>
      <c r="C207" s="2">
        <v>1410.4235727440148</v>
      </c>
      <c r="D207" s="1"/>
    </row>
    <row r="208" spans="1:4" x14ac:dyDescent="0.2">
      <c r="A208" s="1"/>
      <c r="B208" s="1" t="s">
        <v>171</v>
      </c>
      <c r="C208" s="2">
        <v>432.97205200160357</v>
      </c>
      <c r="D208" s="1"/>
    </row>
    <row r="209" spans="1:4" x14ac:dyDescent="0.2">
      <c r="A209" s="1"/>
      <c r="B209" s="1" t="s">
        <v>106</v>
      </c>
      <c r="C209" s="2">
        <v>-16.01863465328794</v>
      </c>
      <c r="D209" s="1"/>
    </row>
    <row r="210" spans="1:4" x14ac:dyDescent="0.2">
      <c r="A210" s="1"/>
      <c r="B210" s="1" t="s">
        <v>112</v>
      </c>
      <c r="C210" s="2">
        <v>92.525787114543391</v>
      </c>
      <c r="D210" s="1"/>
    </row>
    <row r="211" spans="1:4" x14ac:dyDescent="0.2">
      <c r="A211" s="1"/>
      <c r="B211" s="1" t="s">
        <v>120</v>
      </c>
      <c r="C211" s="2">
        <v>647.90588235294115</v>
      </c>
      <c r="D211" s="1"/>
    </row>
    <row r="212" spans="1:4" x14ac:dyDescent="0.2">
      <c r="A212" s="1"/>
      <c r="B212" s="1" t="s">
        <v>205</v>
      </c>
      <c r="C212" s="2">
        <v>22.678579892875764</v>
      </c>
      <c r="D212" s="1"/>
    </row>
    <row r="213" spans="1:4" x14ac:dyDescent="0.2">
      <c r="A213" s="1"/>
      <c r="B213" s="1" t="s">
        <v>179</v>
      </c>
      <c r="C213" s="2">
        <v>132.01032138770375</v>
      </c>
      <c r="D213" s="1"/>
    </row>
    <row r="214" spans="1:4" x14ac:dyDescent="0.2">
      <c r="A214" s="1"/>
      <c r="B214" s="1" t="s">
        <v>194</v>
      </c>
      <c r="C214" s="2">
        <v>59.746108508387486</v>
      </c>
      <c r="D214" s="1"/>
    </row>
    <row r="215" spans="1:4" x14ac:dyDescent="0.2">
      <c r="A215" s="1"/>
      <c r="B215" s="1" t="s">
        <v>187</v>
      </c>
      <c r="C215" s="2">
        <v>692.74870512591531</v>
      </c>
      <c r="D215" s="1"/>
    </row>
    <row r="216" spans="1:4" x14ac:dyDescent="0.2">
      <c r="A216" s="1"/>
      <c r="B216" s="1" t="s">
        <v>198</v>
      </c>
      <c r="C216" s="2">
        <v>85.762772418720971</v>
      </c>
      <c r="D216" s="1"/>
    </row>
    <row r="217" spans="1:4" x14ac:dyDescent="0.2">
      <c r="A217" s="1"/>
      <c r="B217" s="1" t="s">
        <v>210</v>
      </c>
      <c r="C217" s="2">
        <v>363.84193943908991</v>
      </c>
      <c r="D217" s="1"/>
    </row>
    <row r="218" spans="1:4" x14ac:dyDescent="0.2">
      <c r="A218" s="1"/>
      <c r="B218" s="1" t="s">
        <v>208</v>
      </c>
      <c r="C218" s="2">
        <v>227.04615384615386</v>
      </c>
      <c r="D2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очищенные данные</vt:lpstr>
      <vt:lpstr>анализ</vt:lpstr>
      <vt:lpstr>анализ(сводная)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Ульяна</cp:lastModifiedBy>
  <dcterms:modified xsi:type="dcterms:W3CDTF">2026-03-26T06:57:15Z</dcterms:modified>
</cp:coreProperties>
</file>